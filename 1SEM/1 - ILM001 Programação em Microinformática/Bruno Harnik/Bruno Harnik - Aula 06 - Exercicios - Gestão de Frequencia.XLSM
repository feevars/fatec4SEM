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20" yWindow="0" windowWidth="2190" windowHeight="1245" firstSheet="1" activeTab="1"/>
  </bookViews>
  <sheets>
    <sheet name="Base Dados" sheetId="13" state="hidden" r:id="rId1"/>
    <sheet name="Macro &amp; Importar" sheetId="17" r:id="rId2"/>
    <sheet name="Gest de Aulas" sheetId="14" r:id="rId3"/>
    <sheet name="PROCV, Rs Final" sheetId="20" r:id="rId4"/>
  </sheets>
  <definedNames>
    <definedName name="CadAluFak">#REF!</definedName>
    <definedName name="DadosExternos_1" localSheetId="1" hidden="1">'Macro &amp; Importar'!$A$1:$B$58</definedName>
    <definedName name="ListPr">#REF!</definedName>
    <definedName name="MatdoAlu">'Gest de Aulas'!$A$2:$A$36</definedName>
    <definedName name="NmdeAlunos">'Gest de Aulas'!$B$2:$B$36</definedName>
    <definedName name="ParmFalt">#REF!</definedName>
    <definedName name="TabGstDisc">'Gest de Aulas'!$A$1:$AG$36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1" i="14" l="1"/>
  <c r="B51" i="14"/>
  <c r="C51" i="14"/>
  <c r="A52" i="14"/>
  <c r="B52" i="14"/>
  <c r="C52" i="14"/>
  <c r="A47" i="14"/>
  <c r="B47" i="14"/>
  <c r="C47" i="14"/>
  <c r="A48" i="14"/>
  <c r="B48" i="14"/>
  <c r="C48" i="14"/>
  <c r="A49" i="14"/>
  <c r="B49" i="14"/>
  <c r="C49" i="14"/>
  <c r="A50" i="14"/>
  <c r="B50" i="14"/>
  <c r="C50" i="14"/>
  <c r="A40" i="14"/>
  <c r="B40" i="14"/>
  <c r="C40" i="14"/>
  <c r="A41" i="14"/>
  <c r="B41" i="14"/>
  <c r="C41" i="14"/>
  <c r="A42" i="14"/>
  <c r="B42" i="14"/>
  <c r="C42" i="14"/>
  <c r="A43" i="14"/>
  <c r="B43" i="14"/>
  <c r="C43" i="14"/>
  <c r="A44" i="14"/>
  <c r="B44" i="14"/>
  <c r="C44" i="14"/>
  <c r="A45" i="14"/>
  <c r="B45" i="14"/>
  <c r="C45" i="14"/>
  <c r="A46" i="14"/>
  <c r="B46" i="14"/>
  <c r="C46" i="14"/>
  <c r="A37" i="14"/>
  <c r="B37" i="14"/>
  <c r="C37" i="14"/>
  <c r="A38" i="14"/>
  <c r="B38" i="14"/>
  <c r="C38" i="14"/>
  <c r="A39" i="14"/>
  <c r="B39" i="14"/>
  <c r="C39" i="14"/>
  <c r="A2" i="14"/>
  <c r="B2" i="14"/>
  <c r="C2" i="14"/>
  <c r="A3" i="14"/>
  <c r="B3" i="14"/>
  <c r="C3" i="14"/>
  <c r="A4" i="14"/>
  <c r="B4" i="14"/>
  <c r="C4" i="14"/>
  <c r="A5" i="14"/>
  <c r="B5" i="14"/>
  <c r="C5" i="14"/>
  <c r="A6" i="14"/>
  <c r="B6" i="14"/>
  <c r="C6" i="14"/>
  <c r="A7" i="14"/>
  <c r="B7" i="14"/>
  <c r="C7" i="14"/>
  <c r="A8" i="14"/>
  <c r="B8" i="14"/>
  <c r="C8" i="14"/>
  <c r="A9" i="14"/>
  <c r="B9" i="14"/>
  <c r="C9" i="14"/>
  <c r="A10" i="14"/>
  <c r="B10" i="14"/>
  <c r="C10" i="14"/>
  <c r="A11" i="14"/>
  <c r="B11" i="14"/>
  <c r="C11" i="14"/>
  <c r="A12" i="14"/>
  <c r="B12" i="14"/>
  <c r="C12" i="14"/>
  <c r="A13" i="14"/>
  <c r="B13" i="14"/>
  <c r="C13" i="14"/>
  <c r="A14" i="14"/>
  <c r="B14" i="14"/>
  <c r="C14" i="14"/>
  <c r="A15" i="14"/>
  <c r="B15" i="14"/>
  <c r="C15" i="14"/>
  <c r="A16" i="14"/>
  <c r="B16" i="14"/>
  <c r="C16" i="14"/>
  <c r="A17" i="14"/>
  <c r="B17" i="14"/>
  <c r="C17" i="14"/>
  <c r="A18" i="14"/>
  <c r="B18" i="14"/>
  <c r="C18" i="14"/>
  <c r="A19" i="14"/>
  <c r="B19" i="14"/>
  <c r="C19" i="14"/>
  <c r="A20" i="14"/>
  <c r="B20" i="14"/>
  <c r="C20" i="14"/>
  <c r="A21" i="14"/>
  <c r="B21" i="14"/>
  <c r="C21" i="14"/>
  <c r="A22" i="14"/>
  <c r="B22" i="14"/>
  <c r="C22" i="14"/>
  <c r="A23" i="14"/>
  <c r="B23" i="14"/>
  <c r="C23" i="14"/>
  <c r="A24" i="14"/>
  <c r="B24" i="14"/>
  <c r="C24" i="14"/>
  <c r="A25" i="14"/>
  <c r="B25" i="14"/>
  <c r="C25" i="14"/>
  <c r="A26" i="14"/>
  <c r="B26" i="14"/>
  <c r="C26" i="14"/>
  <c r="A27" i="14"/>
  <c r="B27" i="14"/>
  <c r="C27" i="14"/>
  <c r="A28" i="14"/>
  <c r="B28" i="14"/>
  <c r="C28" i="14"/>
  <c r="A29" i="14"/>
  <c r="B29" i="14"/>
  <c r="C29" i="14"/>
  <c r="A30" i="14"/>
  <c r="B30" i="14"/>
  <c r="C30" i="14"/>
  <c r="A31" i="14"/>
  <c r="B31" i="14"/>
  <c r="C31" i="14"/>
  <c r="A32" i="14"/>
  <c r="B32" i="14"/>
  <c r="C32" i="14"/>
  <c r="A33" i="14"/>
  <c r="B33" i="14"/>
  <c r="C33" i="14"/>
  <c r="A34" i="14"/>
  <c r="B34" i="14"/>
  <c r="C34" i="14"/>
  <c r="A35" i="14"/>
  <c r="B35" i="14"/>
  <c r="C35" i="14"/>
  <c r="A36" i="14"/>
  <c r="B36" i="14"/>
  <c r="C36" i="14"/>
  <c r="C1" i="14"/>
  <c r="B1" i="14"/>
  <c r="A1" i="14"/>
  <c r="B5" i="20" l="1"/>
  <c r="B4" i="20"/>
  <c r="AA2" i="14"/>
  <c r="AB2" i="14"/>
  <c r="AC2" i="14"/>
  <c r="AA3" i="14"/>
  <c r="AB3" i="14"/>
  <c r="AC3" i="14"/>
  <c r="AA4" i="14"/>
  <c r="AB4" i="14"/>
  <c r="AC4" i="14"/>
  <c r="AA5" i="14"/>
  <c r="AB5" i="14"/>
  <c r="AC5" i="14"/>
  <c r="AA6" i="14"/>
  <c r="AB6" i="14"/>
  <c r="AC6" i="14"/>
  <c r="AA7" i="14"/>
  <c r="AB7" i="14"/>
  <c r="AC7" i="14"/>
  <c r="AA8" i="14"/>
  <c r="AB8" i="14"/>
  <c r="AC8" i="14"/>
  <c r="AA9" i="14"/>
  <c r="AB9" i="14"/>
  <c r="AC9" i="14"/>
  <c r="AA10" i="14"/>
  <c r="AB10" i="14"/>
  <c r="AC10" i="14"/>
  <c r="AA11" i="14"/>
  <c r="AB11" i="14"/>
  <c r="AC11" i="14"/>
  <c r="AA12" i="14"/>
  <c r="AB12" i="14"/>
  <c r="AC12" i="14"/>
  <c r="AA13" i="14"/>
  <c r="AB13" i="14"/>
  <c r="AC13" i="14"/>
  <c r="AA14" i="14"/>
  <c r="AB14" i="14"/>
  <c r="AC14" i="14"/>
  <c r="AA15" i="14"/>
  <c r="AB15" i="14"/>
  <c r="AC15" i="14"/>
  <c r="AA16" i="14"/>
  <c r="AB16" i="14"/>
  <c r="AC16" i="14"/>
  <c r="AA17" i="14"/>
  <c r="AB17" i="14"/>
  <c r="AC17" i="14"/>
  <c r="AA18" i="14"/>
  <c r="AB18" i="14"/>
  <c r="AC18" i="14"/>
  <c r="AA19" i="14"/>
  <c r="AB19" i="14"/>
  <c r="AC19" i="14"/>
  <c r="AA20" i="14"/>
  <c r="AB20" i="14"/>
  <c r="AC20" i="14"/>
  <c r="AA21" i="14"/>
  <c r="AB21" i="14"/>
  <c r="AC21" i="14"/>
  <c r="AA22" i="14"/>
  <c r="AB22" i="14"/>
  <c r="AC22" i="14"/>
  <c r="AA23" i="14"/>
  <c r="AB23" i="14"/>
  <c r="AC23" i="14"/>
  <c r="AA24" i="14"/>
  <c r="AB24" i="14"/>
  <c r="AC24" i="14"/>
  <c r="AA25" i="14"/>
  <c r="AB25" i="14"/>
  <c r="AC25" i="14"/>
  <c r="AA26" i="14"/>
  <c r="AB26" i="14"/>
  <c r="AC26" i="14"/>
  <c r="AA27" i="14"/>
  <c r="AB27" i="14"/>
  <c r="AC27" i="14"/>
  <c r="AA28" i="14"/>
  <c r="AB28" i="14"/>
  <c r="AC28" i="14"/>
  <c r="AA29" i="14"/>
  <c r="AB29" i="14"/>
  <c r="AC29" i="14"/>
  <c r="AA30" i="14"/>
  <c r="AB30" i="14"/>
  <c r="AC30" i="14"/>
  <c r="AA31" i="14"/>
  <c r="AB31" i="14"/>
  <c r="AC31" i="14"/>
  <c r="AA32" i="14"/>
  <c r="AB32" i="14"/>
  <c r="AC32" i="14"/>
  <c r="AA33" i="14"/>
  <c r="AB33" i="14"/>
  <c r="AC33" i="14"/>
  <c r="AA34" i="14"/>
  <c r="AB34" i="14"/>
  <c r="AC34" i="14"/>
  <c r="AA35" i="14"/>
  <c r="AB35" i="14"/>
  <c r="AC35" i="14"/>
  <c r="AA36" i="14"/>
  <c r="AB36" i="14"/>
  <c r="AC36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2" i="14"/>
  <c r="W6" i="13" l="1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C5" i="13"/>
  <c r="A6" i="13"/>
  <c r="B6" i="13" s="1"/>
  <c r="A7" i="13"/>
  <c r="B7" i="13" s="1"/>
  <c r="A8" i="13"/>
  <c r="B8" i="13" s="1"/>
  <c r="A9" i="13"/>
  <c r="B9" i="13" s="1"/>
  <c r="A10" i="13"/>
  <c r="B10" i="13" s="1"/>
  <c r="A11" i="13"/>
  <c r="B11" i="13" s="1"/>
  <c r="A12" i="13"/>
  <c r="B12" i="13" s="1"/>
  <c r="A13" i="13"/>
  <c r="B13" i="13" s="1"/>
  <c r="A14" i="13"/>
  <c r="B14" i="13" s="1"/>
  <c r="A15" i="13"/>
  <c r="B15" i="13" s="1"/>
  <c r="A16" i="13"/>
  <c r="B16" i="13" s="1"/>
  <c r="A17" i="13"/>
  <c r="B17" i="13" s="1"/>
  <c r="A18" i="13"/>
  <c r="B18" i="13" s="1"/>
  <c r="A19" i="13"/>
  <c r="B19" i="13" s="1"/>
  <c r="A20" i="13"/>
  <c r="B20" i="13" s="1"/>
  <c r="A21" i="13"/>
  <c r="B21" i="13" s="1"/>
  <c r="A22" i="13"/>
  <c r="B22" i="13" s="1"/>
  <c r="A23" i="13"/>
  <c r="B23" i="13" s="1"/>
  <c r="A24" i="13"/>
  <c r="B24" i="13" s="1"/>
  <c r="A25" i="13"/>
  <c r="B25" i="13" s="1"/>
  <c r="A26" i="13"/>
  <c r="B26" i="13" s="1"/>
  <c r="A27" i="13"/>
  <c r="B27" i="13" s="1"/>
  <c r="A28" i="13"/>
  <c r="B28" i="13" s="1"/>
  <c r="A29" i="13"/>
  <c r="B29" i="13" s="1"/>
  <c r="A30" i="13"/>
  <c r="B30" i="13" s="1"/>
  <c r="A31" i="13"/>
  <c r="B31" i="13" s="1"/>
  <c r="A32" i="13"/>
  <c r="B32" i="13" s="1"/>
  <c r="A33" i="13"/>
  <c r="B33" i="13" s="1"/>
  <c r="A34" i="13"/>
  <c r="B34" i="13" s="1"/>
  <c r="A35" i="13"/>
  <c r="B35" i="13" s="1"/>
  <c r="A36" i="13"/>
  <c r="B36" i="13" s="1"/>
  <c r="A37" i="13"/>
  <c r="B37" i="13" s="1"/>
  <c r="A38" i="13"/>
  <c r="B38" i="13" s="1"/>
  <c r="A39" i="13"/>
  <c r="B39" i="13" s="1"/>
  <c r="A40" i="13"/>
  <c r="B40" i="13" s="1"/>
  <c r="A41" i="13"/>
  <c r="B41" i="13" s="1"/>
  <c r="A42" i="13"/>
  <c r="B42" i="13" s="1"/>
  <c r="A43" i="13"/>
  <c r="B43" i="13" s="1"/>
  <c r="A44" i="13"/>
  <c r="B44" i="13" s="1"/>
  <c r="A45" i="13"/>
  <c r="B45" i="13" s="1"/>
  <c r="A5" i="13"/>
  <c r="B5" i="13" s="1"/>
  <c r="A50" i="13"/>
  <c r="B6" i="20" l="1"/>
  <c r="W5" i="13"/>
  <c r="B7" i="20" l="1"/>
</calcChain>
</file>

<file path=xl/connections.xml><?xml version="1.0" encoding="utf-8"?>
<connections xmlns="http://schemas.openxmlformats.org/spreadsheetml/2006/main">
  <connection id="1" sourceFile="C:\Users\Simone\Desktop\fatec\1SEM\Programação em Microinformática\Aula 06 - Arquivo.XLS" keepAlive="1" name="Conexão" type="5" refreshedVersion="4" background="1" saveData="1">
    <dbPr connection="Provider=Microsoft.ACE.OLEDB.12.0;User ID=Admin;Data Source=C:\Users\Simone\Desktop\fatec\1SEM\Programação em Microinformática\Aula 06 - Arquivo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heet1$" commandType="3"/>
  </connection>
  <connection id="2" keepAlive="1" name="Connection" type="5" refreshedVersion="0" background="1">
    <dbPr connection="Provider=Microsoft.Mashup.OleDb.1;Data Source=$Workbook$;Location=&quot;Sheet1 (2)&quot;;Extended Properties=&quot;&quot;" commandType="0"/>
  </connection>
  <connection id="3" keepAlive="1" name="Connection1" type="5" refreshedVersion="0" background="1">
    <dbPr connection="Provider=Microsoft.Mashup.OleDb.1;Data Source=$Workbook$;Location=&quot;Sheet1 (2)&quot;;Extended Properties=&quot;&quot;" commandType="0"/>
  </connection>
  <connection id="4" keepAlive="1" name="Connection10" type="5" refreshedVersion="0" background="1">
    <dbPr connection="Provider=Microsoft.Mashup.OleDb.1;Data Source=$Workbook$;Location=&quot;Sheet1 (2)&quot;;Extended Properties=&quot;&quot;" commandType="0"/>
  </connection>
  <connection id="5" keepAlive="1" name="Connection11" type="5" refreshedVersion="0" background="1">
    <dbPr connection="Provider=Microsoft.Mashup.OleDb.1;Data Source=$Workbook$;Location=CadastrodeAlunosAdsDaPMI;Extended Properties=&quot;&quot;" commandType="0"/>
  </connection>
  <connection id="6" keepAlive="1" name="Connection12" type="5" refreshedVersion="0" background="1">
    <dbPr connection="Provider=Microsoft.Mashup.OleDb.1;Data Source=$Workbook$;Location=&quot;Sheet1 (2)&quot;;Extended Properties=&quot;&quot;" commandType="0"/>
  </connection>
  <connection id="7" keepAlive="1" name="Connection13" type="5" refreshedVersion="0" background="1">
    <dbPr connection="Provider=Microsoft.Mashup.OleDb.1;Data Source=$Workbook$;Location=CadastrodeAlunosAdsDaPMI;Extended Properties=&quot;&quot;" commandType="0"/>
  </connection>
  <connection id="8" keepAlive="1" name="Connection14" type="5" refreshedVersion="0" background="1">
    <dbPr connection="Provider=Microsoft.Mashup.OleDb.1;Data Source=$Workbook$;Location=CadastrodeAlunosAdsDaPMI;Extended Properties=&quot;&quot;" commandType="0"/>
  </connection>
  <connection id="9" keepAlive="1" name="Connection15" type="5" refreshedVersion="0" background="1">
    <dbPr connection="Provider=Microsoft.Mashup.OleDb.1;Data Source=$Workbook$;Location=&quot;Sheet1 (2)&quot;;Extended Properties=&quot;&quot;" commandType="0"/>
  </connection>
  <connection id="10" keepAlive="1" name="Connection16" type="5" refreshedVersion="0" background="1">
    <dbPr connection="Provider=Microsoft.Mashup.OleDb.1;Data Source=$Workbook$;Location=CadastrodeAlunosAdsDaPMI;Extended Properties=&quot;&quot;" commandType="0"/>
  </connection>
  <connection id="11" keepAlive="1" name="Connection17" type="5" refreshedVersion="0" background="1">
    <dbPr connection="Provider=Microsoft.Mashup.OleDb.1;Data Source=$Workbook$;Location=&quot;CadastrodeAlunosAdsDaPMI (4)&quot;;Extended Properties=&quot;&quot;" commandType="0"/>
  </connection>
  <connection id="12" keepAlive="1" name="Connection18" type="5" refreshedVersion="0" background="1">
    <dbPr connection="Provider=Microsoft.Mashup.OleDb.1;Data Source=$Workbook$;Location=&quot;CadastrodeAlunosAdsDaPMI (4)&quot;;Extended Properties=&quot;&quot;" commandType="0"/>
  </connection>
  <connection id="13" keepAlive="1" name="Connection19" type="5" refreshedVersion="0" background="1">
    <dbPr connection="Provider=Microsoft.Mashup.OleDb.1;Data Source=$Workbook$;Location=&quot;CadastrodeAlunosAdsDaPMI (4)&quot;;Extended Properties=&quot;&quot;" commandType="0"/>
  </connection>
  <connection id="14" keepAlive="1" name="Connection2" type="5" refreshedVersion="0" background="1">
    <dbPr connection="Provider=Microsoft.Mashup.OleDb.1;Data Source=$Workbook$;Location=&quot;Sheet1 (2)&quot;;Extended Properties=&quot;&quot;" commandType="0"/>
  </connection>
  <connection id="15" keepAlive="1" name="Connection20" type="5" refreshedVersion="0" background="1">
    <dbPr connection="Provider=Microsoft.Mashup.OleDb.1;Data Source=$Workbook$;Location=&quot;Sheet1 (3)&quot;;Extended Properties=&quot;&quot;" commandType="0"/>
  </connection>
  <connection id="16" keepAlive="1" name="Connection21" type="5" refreshedVersion="6" background="1" saveData="1">
    <dbPr connection="Provider=Microsoft.Mashup.OleDb.1;Data Source=$Workbook$;Location=Sheet1 (3);Extended Properties=&quot;&quot;" command="SELECT * FROM [Sheet1 (3)]"/>
  </connection>
  <connection id="17" keepAlive="1" name="Connection3" type="5" refreshedVersion="6" background="1" saveData="1">
    <dbPr connection="Provider=Microsoft.Mashup.OleDb.1;Data Source=$Workbook$;Location=&quot;Sheet1 (2)&quot;;Extended Properties=&quot;&quot;" command="SELECT * FROM [Sheet1 (2)]"/>
  </connection>
  <connection id="18" keepAlive="1" name="Connection4" type="5" refreshedVersion="0" background="1">
    <dbPr connection="Provider=Microsoft.Mashup.OleDb.1;Data Source=$Workbook$;Location=&quot;Sheet1 (2)&quot;;Extended Properties=&quot;&quot;" commandType="0"/>
  </connection>
  <connection id="19" keepAlive="1" name="Connection5" type="5" refreshedVersion="0" background="1">
    <dbPr connection="Provider=Microsoft.Mashup.OleDb.1;Data Source=$Workbook$;Location=&quot;Sheet1 (2)&quot;;Extended Properties=&quot;&quot;" commandType="0"/>
  </connection>
  <connection id="20" keepAlive="1" name="Connection6" type="5" refreshedVersion="0" background="1">
    <dbPr connection="Provider=Microsoft.Mashup.OleDb.1;Data Source=$Workbook$;Location=CadastrodeAlunosAdsDaPMI;Extended Properties=&quot;&quot;" commandType="0"/>
  </connection>
  <connection id="21" keepAlive="1" name="Connection7" type="5" refreshedVersion="0" background="1">
    <dbPr connection="Provider=Microsoft.Mashup.OleDb.1;Data Source=$Workbook$;Location=&quot;Sheet1 (2)&quot;;Extended Properties=&quot;&quot;" commandType="0"/>
  </connection>
  <connection id="22" keepAlive="1" name="Connection8" type="5" refreshedVersion="0" background="1">
    <dbPr connection="Provider=Microsoft.Mashup.OleDb.1;Data Source=$Workbook$;Location=&quot;Sheet1 (2)&quot;;Extended Properties=&quot;&quot;" commandType="0"/>
  </connection>
  <connection id="23" keepAlive="1" name="Connection9" type="5" refreshedVersion="0" background="1">
    <dbPr connection="Provider=Microsoft.Mashup.OleDb.1;Data Source=$Workbook$;Location=CadastrodeAlunosAdsDaPMI;Extended Properties=&quot;&quot;" commandType="0"/>
  </connection>
  <connection id="24" keepAlive="1" name="Query - CadastrodeAlunosAdsDaPMI" description="Connection to the 'CadastrodeAlunosAdsDaPMI' query in the workbook." type="5" refreshedVersion="6" background="1">
    <dbPr connection="Provider=Microsoft.Mashup.OleDb.1;Data Source=$Workbook$;Location=CadastrodeAlunosAdsDaPMI;Extended Properties=&quot;&quot;" command="SELECT * FROM [CadastrodeAlunosAdsDaPMI]"/>
  </connection>
  <connection id="25" keepAlive="1" name="Query - CadastrodeAlunosAdsDaPMI (2)" description="Connection to the 'CadastrodeAlunosAdsDaPMI (2)' query in the workbook." type="5" refreshedVersion="6" background="1">
    <dbPr connection="Provider=Microsoft.Mashup.OleDb.1;Data Source=$Workbook$;Location=CadastrodeAlunosAdsDaPMI (2);Extended Properties=&quot;&quot;" command="SELECT * FROM [CadastrodeAlunosAdsDaPMI (2)]"/>
  </connection>
  <connection id="26" keepAlive="1" name="Query - CadastrodeAlunosAdsDaPMI (3)" description="Connection to the 'CadastrodeAlunosAdsDaPMI (3)' query in the workbook." type="5" refreshedVersion="6" background="1">
    <dbPr connection="Provider=Microsoft.Mashup.OleDb.1;Data Source=$Workbook$;Location=CadastrodeAlunosAdsDaPMI (3);Extended Properties=&quot;&quot;" command="SELECT * FROM [CadastrodeAlunosAdsDaPMI (3)]"/>
  </connection>
  <connection id="27" keepAlive="1" name="Query - CadastrodeAlunosAdsDaPMI (4)" description="Connection to the 'CadastrodeAlunosAdsDaPMI (4)' query in the workbook." type="5" refreshedVersion="6" background="1">
    <dbPr connection="Provider=Microsoft.Mashup.OleDb.1;Data Source=$Workbook$;Location=CadastrodeAlunosAdsDaPMI (4);Extended Properties=&quot;&quot;" command="SELECT * FROM [CadastrodeAlunosAdsDaPMI (4)]"/>
  </connection>
  <connection id="28" keepAlive="1" name="Query - Sheet1" description="Connection to the 'Sheet1' query in the workbook." type="5" refreshedVersion="6" background="1">
    <dbPr connection="Provider=Microsoft.Mashup.OleDb.1;Data Source=$Workbook$;Location=Sheet1;Extended Properties=&quot;&quot;" command="SELECT * FROM [Sheet1]"/>
  </connection>
  <connection id="29" keepAlive="1" name="Query - Sheet1 (2)" description="Connection to the 'Sheet1 (2)' query in the workbook." type="5" refreshedVersion="6" background="1">
    <dbPr connection="Provider=Microsoft.Mashup.OleDb.1;Data Source=$Workbook$;Location=&quot;Sheet1 (2)&quot;;Extended Properties=&quot;&quot;" command="SELECT * FROM [Sheet1 (2)]"/>
  </connection>
  <connection id="30" keepAlive="1" name="Query - Sheet1 (3)" description="Connection to the 'Sheet1 (3)' query in the workbook." type="5" refreshedVersion="6" background="1">
    <dbPr connection="Provider=Microsoft.Mashup.OleDb.1;Data Source=$Workbook$;Location=Sheet1 (3);Extended Properties=&quot;&quot;" command="SELECT * FROM [Sheet1 (3)]"/>
  </connection>
</connections>
</file>

<file path=xl/sharedStrings.xml><?xml version="1.0" encoding="utf-8"?>
<sst xmlns="http://schemas.openxmlformats.org/spreadsheetml/2006/main" count="890" uniqueCount="167">
  <si>
    <t xml:space="preserve"> </t>
  </si>
  <si>
    <t>Faltas</t>
  </si>
  <si>
    <t>PP</t>
  </si>
  <si>
    <t>FF</t>
  </si>
  <si>
    <t>Matricula</t>
  </si>
  <si>
    <t>NomedoAluno</t>
  </si>
  <si>
    <t>FP</t>
  </si>
  <si>
    <t>PF</t>
  </si>
  <si>
    <t>Instruções?</t>
  </si>
  <si>
    <t>1) Preencher os campos? Matrícula, Nome do Aluno e Calcular as Faltas;</t>
  </si>
  <si>
    <t>2) O campos Matrícula e Nome do Aluno devem ser preenchidos, conforme a lista da secretária;</t>
  </si>
  <si>
    <t>3) O campo Aulas (1 a 20) devem ser preenchidos, conforme abaixo:</t>
  </si>
  <si>
    <t>Presença</t>
  </si>
  <si>
    <t>Observações</t>
  </si>
  <si>
    <t>4 horas/aula</t>
  </si>
  <si>
    <t>2 horas/aula</t>
  </si>
  <si>
    <t>0 horas/aula</t>
  </si>
  <si>
    <t>ORIENTAÇÂO GERAL</t>
  </si>
  <si>
    <t>AULA 02</t>
  </si>
  <si>
    <t>Grupos</t>
  </si>
  <si>
    <t>1) Gravar MACRO para importar Dados;</t>
  </si>
  <si>
    <t>3) Executar a partir do botão a macro.</t>
  </si>
  <si>
    <t>4) Criar Macro Limpar arquivo Importado;</t>
  </si>
  <si>
    <t>5) Criar o botão para chamar a macro limpar;</t>
  </si>
  <si>
    <t>2) Criar botão para chamar a macro Importar;</t>
  </si>
  <si>
    <t>6) Associar o Botão a Macro limpar;</t>
  </si>
  <si>
    <t>7) Existem duas formas de associar o botão a macro.</t>
  </si>
  <si>
    <t>Opção 1 (Criar Botão)?</t>
  </si>
  <si>
    <t>Opção 2 (Criar Botão)?</t>
  </si>
  <si>
    <t>Guia Desenvolvedor, Inserir Botão</t>
  </si>
  <si>
    <t>Pegar do Inserir Formas</t>
  </si>
  <si>
    <t>Prv 01</t>
  </si>
  <si>
    <t>Prv 02</t>
  </si>
  <si>
    <t>Prv 03</t>
  </si>
  <si>
    <t>NT Final, FPadr</t>
  </si>
  <si>
    <t>Nt Final, FCust</t>
  </si>
  <si>
    <t>Média,FPadr</t>
  </si>
  <si>
    <t>Média,FCust</t>
  </si>
  <si>
    <t>ff</t>
  </si>
  <si>
    <t>pf</t>
  </si>
  <si>
    <t>fp</t>
  </si>
  <si>
    <t>8) Nas opções de importar dados? Escolher ";" como separador de campos, em vez de usar TAB;</t>
  </si>
  <si>
    <t>Nome do Aluno</t>
  </si>
  <si>
    <t>Qtde de Faltas</t>
  </si>
  <si>
    <t>Média de Nota</t>
  </si>
  <si>
    <t>Nota Final</t>
  </si>
  <si>
    <t>Exemplo Prático, Função PROCV/VLOOKUP</t>
  </si>
  <si>
    <t>Entrar com a mátricula do Aluno?</t>
  </si>
  <si>
    <t>fP</t>
  </si>
  <si>
    <t>Faltas, FPadrao</t>
  </si>
  <si>
    <t>Faltas, FCustomizada</t>
  </si>
  <si>
    <t>RA</t>
  </si>
  <si>
    <t>ALUNO</t>
  </si>
  <si>
    <t xml:space="preserve">1110481823019       </t>
  </si>
  <si>
    <t>ALAN ANDRADE MUNIZ</t>
  </si>
  <si>
    <t xml:space="preserve">1110481823052       </t>
  </si>
  <si>
    <t>BRUNO BEGA HARNIK</t>
  </si>
  <si>
    <t xml:space="preserve">1110481823016       </t>
  </si>
  <si>
    <t>CESAR AUGUSTO SANTIAGO DA SILVA</t>
  </si>
  <si>
    <t xml:space="preserve">F1521217            </t>
  </si>
  <si>
    <t>CLAYTON SILVA DE ASSIS</t>
  </si>
  <si>
    <t xml:space="preserve">1110481723031       </t>
  </si>
  <si>
    <t>DANILO MOREIRA DA SILVA</t>
  </si>
  <si>
    <t xml:space="preserve">1110481823024       </t>
  </si>
  <si>
    <t>DANILO PEREIRA SILVA</t>
  </si>
  <si>
    <t xml:space="preserve">F1610449            </t>
  </si>
  <si>
    <t>DENNIS ALLOTA NASCIMENTO</t>
  </si>
  <si>
    <t xml:space="preserve">1110481823002       </t>
  </si>
  <si>
    <t>DIEGO TELHADA DE OLIVEIRA</t>
  </si>
  <si>
    <t xml:space="preserve">1110481813011       </t>
  </si>
  <si>
    <t>EDUARDO MACIEL SANCHEZ</t>
  </si>
  <si>
    <t xml:space="preserve">1110481823035       </t>
  </si>
  <si>
    <t>FELIPE DO COUTO FERREIRA</t>
  </si>
  <si>
    <t xml:space="preserve">1110481823025       </t>
  </si>
  <si>
    <t>FELIPE SARDINHA DA SILVA</t>
  </si>
  <si>
    <t xml:space="preserve">1110481823022       </t>
  </si>
  <si>
    <t>FERNANDA PINHEIRO REIS</t>
  </si>
  <si>
    <t xml:space="preserve">1110481813015       </t>
  </si>
  <si>
    <t xml:space="preserve">GABRIEL BARAO ANTONIO                             </t>
  </si>
  <si>
    <t xml:space="preserve">1110481823013       </t>
  </si>
  <si>
    <t>GABRIEL LOPES FERREIRA RAMOS</t>
  </si>
  <si>
    <t xml:space="preserve">1110481823017       </t>
  </si>
  <si>
    <t>GLAUBER FELISBINO COSTA</t>
  </si>
  <si>
    <t xml:space="preserve">1110481813027       </t>
  </si>
  <si>
    <t>GUILHERME MACEDO CANDIDO</t>
  </si>
  <si>
    <t xml:space="preserve">1110481823036       </t>
  </si>
  <si>
    <t>GUSTAVO FREITAS MOTTA</t>
  </si>
  <si>
    <t xml:space="preserve">1110481823050       </t>
  </si>
  <si>
    <t>GUSTAVO RABELO TELES</t>
  </si>
  <si>
    <t xml:space="preserve">1110481823027       </t>
  </si>
  <si>
    <t>HENRIQUE AMORIM</t>
  </si>
  <si>
    <t xml:space="preserve">1110481823015       </t>
  </si>
  <si>
    <t>HENRIQUE LIMA DE OLIVEIRA</t>
  </si>
  <si>
    <t xml:space="preserve">1110481823029       </t>
  </si>
  <si>
    <t>HENRIQUE SOUZA LIMA</t>
  </si>
  <si>
    <t xml:space="preserve">1110481823042       </t>
  </si>
  <si>
    <t>ISABELLY PINHEIRO SERRA</t>
  </si>
  <si>
    <t xml:space="preserve">1110481823044       </t>
  </si>
  <si>
    <t>JOAO VICTOR PATROCINIO CARNEIRO</t>
  </si>
  <si>
    <t xml:space="preserve">1110481823043       </t>
  </si>
  <si>
    <t xml:space="preserve">JOSE AMARO FERRER DE QUADROS                      </t>
  </si>
  <si>
    <t xml:space="preserve">1110481823023       </t>
  </si>
  <si>
    <t>JULIE CANDIDO TAVARES</t>
  </si>
  <si>
    <t xml:space="preserve">1110481823020       </t>
  </si>
  <si>
    <t>JULIO CESAR DA SILVA</t>
  </si>
  <si>
    <t xml:space="preserve">1110481813005       </t>
  </si>
  <si>
    <t>KAIO VENANCIUS GALVAO SANTOS SILVA</t>
  </si>
  <si>
    <t xml:space="preserve">1110481823010       </t>
  </si>
  <si>
    <t>KAREN GABRIELLA RODRIGUES DOS SANTOS</t>
  </si>
  <si>
    <t xml:space="preserve">1110481823039       </t>
  </si>
  <si>
    <t>LAYS VERONEZI DOS SANTOS</t>
  </si>
  <si>
    <t xml:space="preserve">1110481823037       </t>
  </si>
  <si>
    <t>LEONARDO SILVA MELO</t>
  </si>
  <si>
    <t xml:space="preserve">1110481722041       </t>
  </si>
  <si>
    <t>LEONARDO VANDRE SINESIO</t>
  </si>
  <si>
    <t xml:space="preserve">1110481813032       </t>
  </si>
  <si>
    <t>LUCAS CARDOSO DA SILVA BORGES</t>
  </si>
  <si>
    <t xml:space="preserve">1110481813042       </t>
  </si>
  <si>
    <t>LUCAS LIUDI TAMASHIRO</t>
  </si>
  <si>
    <t xml:space="preserve">1110481823033       </t>
  </si>
  <si>
    <t>LUCAS SILVA BERTOLDO SANTOS</t>
  </si>
  <si>
    <t xml:space="preserve">1110481823051       </t>
  </si>
  <si>
    <t>LUIZ FERNANDO GERALDO DOS SANTOS</t>
  </si>
  <si>
    <t xml:space="preserve">1110481823011       </t>
  </si>
  <si>
    <t>MANOEL MAURICIO MENDES</t>
  </si>
  <si>
    <t xml:space="preserve">1110481823047       </t>
  </si>
  <si>
    <t>MARCO ANTONIO MARTINEZ</t>
  </si>
  <si>
    <t xml:space="preserve">1110481823054       </t>
  </si>
  <si>
    <t>MARCONI BERTI LOURENCO RODRIGUES</t>
  </si>
  <si>
    <t xml:space="preserve">1110481823034       </t>
  </si>
  <si>
    <t>MATHEUS GUGONI PRADA</t>
  </si>
  <si>
    <t xml:space="preserve">1110481812051       </t>
  </si>
  <si>
    <t xml:space="preserve">PAULO CESAR ALVES FEITOSA                         </t>
  </si>
  <si>
    <t xml:space="preserve">1110481813022       </t>
  </si>
  <si>
    <t>PETRUS FERNANDES DE MELO</t>
  </si>
  <si>
    <t xml:space="preserve">1110481823053       </t>
  </si>
  <si>
    <t>PRISCILA ROSA DOS SANTOS</t>
  </si>
  <si>
    <t xml:space="preserve">1110481813003       </t>
  </si>
  <si>
    <t>RAFAEL GARCIA FLORES</t>
  </si>
  <si>
    <t xml:space="preserve">1110481823032       </t>
  </si>
  <si>
    <t>RAQUEL MARTINS DO NASCIMENTO</t>
  </si>
  <si>
    <t xml:space="preserve">1110481823014       </t>
  </si>
  <si>
    <t>RENAN MORAN PASSOS DA SILVA</t>
  </si>
  <si>
    <t xml:space="preserve">1110481722036       </t>
  </si>
  <si>
    <t>RENAN PARABRE SANTOS DE ABREU</t>
  </si>
  <si>
    <t xml:space="preserve">1110481823031       </t>
  </si>
  <si>
    <t>RENAN SARTO GREGORIO</t>
  </si>
  <si>
    <t xml:space="preserve">1110481823040       </t>
  </si>
  <si>
    <t>RENATA DOS SANTOS MALEK</t>
  </si>
  <si>
    <t xml:space="preserve">1110481823026       </t>
  </si>
  <si>
    <t>ROBSON HENRIQUE FERREIRA</t>
  </si>
  <si>
    <t xml:space="preserve">1110481823038       </t>
  </si>
  <si>
    <t>ROMULO SANTANA SANTOS DA SILVA</t>
  </si>
  <si>
    <t xml:space="preserve">1110481823009       </t>
  </si>
  <si>
    <t>STEFANO LIMA COSTA</t>
  </si>
  <si>
    <t xml:space="preserve">1110481823012       </t>
  </si>
  <si>
    <t>TALYTA SILVA DOS SANTOS</t>
  </si>
  <si>
    <t xml:space="preserve">1110481823030       </t>
  </si>
  <si>
    <t>THIAGO VILELA DA CUNHA</t>
  </si>
  <si>
    <t xml:space="preserve">1110481813025       </t>
  </si>
  <si>
    <t>VANIE CINTHIA LOPES</t>
  </si>
  <si>
    <t xml:space="preserve">1110481823055       </t>
  </si>
  <si>
    <t>VINICIUS DO PRADO</t>
  </si>
  <si>
    <t xml:space="preserve">1110481823021       </t>
  </si>
  <si>
    <t>WASHINGTON SIDNEY DA SILVA</t>
  </si>
  <si>
    <t xml:space="preserve">1110481823028       </t>
  </si>
  <si>
    <t>WELLINGTON MOURA RIBEIRO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</si>
</sst>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0" fillId="0" borderId="1" xfId="0" applyBorder="1" applyAlignment="1">
      <alignment horizontal="center"/>
    </xf>
    <xf numFmtId="0" fontId="0" fillId="0" borderId="0" xfId="0"/>
    <xf numFmtId="0" fontId="2" fillId="0" borderId="9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4" xfId="0" applyFont="1" applyBorder="1"/>
    <xf numFmtId="0" fontId="2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6" xfId="0" applyFont="1" applyBorder="1"/>
    <xf numFmtId="14" fontId="1" fillId="0" borderId="0" xfId="0" applyNumberFormat="1" applyFont="1"/>
    <xf numFmtId="0" fontId="0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49" fontId="2" fillId="0" borderId="0" xfId="0" applyNumberFormat="1" applyFont="1"/>
    <xf numFmtId="0" fontId="2" fillId="0" borderId="11" xfId="0" applyFont="1" applyBorder="1"/>
    <xf numFmtId="0" fontId="0" fillId="0" borderId="12" xfId="0" applyBorder="1"/>
    <xf numFmtId="0" fontId="2" fillId="0" borderId="13" xfId="0" applyFont="1" applyBorder="1"/>
    <xf numFmtId="0" fontId="0" fillId="0" borderId="14" xfId="0" applyBorder="1"/>
    <xf numFmtId="164" fontId="0" fillId="0" borderId="14" xfId="0" applyNumberFormat="1" applyBorder="1"/>
    <xf numFmtId="0" fontId="2" fillId="0" borderId="15" xfId="0" applyFont="1" applyBorder="1"/>
    <xf numFmtId="164" fontId="0" fillId="0" borderId="16" xfId="0" applyNumberFormat="1" applyBorder="1"/>
    <xf numFmtId="0" fontId="4" fillId="0" borderId="0" xfId="0" applyFont="1"/>
    <xf numFmtId="0" fontId="5" fillId="0" borderId="17" xfId="0" applyFont="1" applyBorder="1"/>
    <xf numFmtId="0" fontId="5" fillId="2" borderId="10" xfId="0" applyFont="1" applyFill="1" applyBorder="1"/>
    <xf numFmtId="0" fontId="0" fillId="0" borderId="0" xfId="0" applyNumberFormat="1"/>
  </cellXfs>
  <cellStyles count="1">
    <cellStyle name="Normal" xfId="0" builtinId="0"/>
  </cellStyles>
  <dxfs count="12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12</xdr:row>
      <xdr:rowOff>9524</xdr:rowOff>
    </xdr:from>
    <xdr:to>
      <xdr:col>5</xdr:col>
      <xdr:colOff>9525</xdr:colOff>
      <xdr:row>15</xdr:row>
      <xdr:rowOff>142874</xdr:rowOff>
    </xdr:to>
    <xdr:sp macro="[0]!ImportarArquivo" textlink="">
      <xdr:nvSpPr>
        <xdr:cNvPr id="2" name="Bisel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886575" y="1790699"/>
          <a:ext cx="1219200" cy="619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Importar Arquivo</a:t>
          </a:r>
        </a:p>
      </xdr:txBody>
    </xdr:sp>
    <xdr:clientData/>
  </xdr:twoCellAnchor>
  <xdr:twoCellAnchor>
    <xdr:from>
      <xdr:col>3</xdr:col>
      <xdr:colOff>9525</xdr:colOff>
      <xdr:row>18</xdr:row>
      <xdr:rowOff>19049</xdr:rowOff>
    </xdr:from>
    <xdr:to>
      <xdr:col>5</xdr:col>
      <xdr:colOff>9525</xdr:colOff>
      <xdr:row>21</xdr:row>
      <xdr:rowOff>152399</xdr:rowOff>
    </xdr:to>
    <xdr:sp macro="[0]!LimparDados" textlink="">
      <xdr:nvSpPr>
        <xdr:cNvPr id="3" name="Bisel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886575" y="2771774"/>
          <a:ext cx="1219200" cy="619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 </a:t>
          </a:r>
        </a:p>
        <a:p>
          <a:pPr algn="ctr"/>
          <a:r>
            <a:rPr lang="pt-BR" sz="1100"/>
            <a:t>Arquivo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9525</xdr:rowOff>
        </xdr:from>
        <xdr:to>
          <xdr:col>10</xdr:col>
          <xdr:colOff>9525</xdr:colOff>
          <xdr:row>16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Arquivo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19</xdr:row>
          <xdr:rowOff>19050</xdr:rowOff>
        </xdr:from>
        <xdr:to>
          <xdr:col>10</xdr:col>
          <xdr:colOff>0</xdr:colOff>
          <xdr:row>22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Arquivo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1</xdr:row>
      <xdr:rowOff>104775</xdr:rowOff>
    </xdr:from>
    <xdr:to>
      <xdr:col>3</xdr:col>
      <xdr:colOff>400050</xdr:colOff>
      <xdr:row>3</xdr:row>
      <xdr:rowOff>57150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3095625" y="266700"/>
          <a:ext cx="647700" cy="3333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>
  <queryTableRefresh nextId="3">
    <queryTableFields count="2">
      <queryTableField id="1" name="RA" tableColumnId="3"/>
      <queryTableField id="2" name="ALUNO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32" displayName="Table32" ref="AB15:AD19" totalsRowShown="0" headerRowDxfId="11" headerRowBorderDxfId="10" tableBorderDxfId="9" totalsRowBorderDxfId="8">
  <tableColumns count="3">
    <tableColumn id="1" name="Presença" dataDxfId="7"/>
    <tableColumn id="2" name="Faltas" dataDxfId="6"/>
    <tableColumn id="3" name="Observações" dataDxfId="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8" name="Tabela_Aula_06___Arquivo" displayName="Tabela_Aula_06___Arquivo" ref="A1:B58" tableType="queryTable" totalsRowShown="0">
  <autoFilter ref="A1:B58"/>
  <tableColumns count="2">
    <tableColumn id="3" uniqueName="3" name="RA" queryTableFieldId="1"/>
    <tableColumn id="4" uniqueName="4" name="ALUNO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50"/>
  <sheetViews>
    <sheetView workbookViewId="0">
      <selection activeCell="B5" sqref="B5"/>
    </sheetView>
  </sheetViews>
  <sheetFormatPr defaultColWidth="9.140625" defaultRowHeight="12.75" x14ac:dyDescent="0.2"/>
  <cols>
    <col min="1" max="1" width="8.5703125" style="5" bestFit="1" customWidth="1"/>
    <col min="2" max="2" width="14" style="5" bestFit="1" customWidth="1"/>
    <col min="3" max="22" width="3" style="5" customWidth="1"/>
    <col min="23" max="23" width="6.140625" style="5" bestFit="1" customWidth="1"/>
    <col min="24" max="25" width="9.140625" style="5"/>
    <col min="26" max="26" width="10.140625" style="5" bestFit="1" customWidth="1"/>
    <col min="27" max="27" width="6.42578125" style="5" bestFit="1" customWidth="1"/>
    <col min="28" max="28" width="12.5703125" style="5" bestFit="1" customWidth="1"/>
    <col min="29" max="29" width="9.140625" style="5"/>
    <col min="30" max="30" width="12.5703125" style="5" bestFit="1" customWidth="1"/>
    <col min="31" max="16384" width="9.140625" style="5"/>
  </cols>
  <sheetData>
    <row r="1" spans="1:30" x14ac:dyDescent="0.2">
      <c r="Y1" s="1" t="s">
        <v>17</v>
      </c>
    </row>
    <row r="4" spans="1:30" x14ac:dyDescent="0.2">
      <c r="A4" s="1" t="s">
        <v>4</v>
      </c>
      <c r="B4" s="1" t="s">
        <v>5</v>
      </c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">
        <v>18</v>
      </c>
      <c r="U4" s="1">
        <v>19</v>
      </c>
      <c r="V4" s="1">
        <v>20</v>
      </c>
      <c r="W4" s="1" t="s">
        <v>1</v>
      </c>
      <c r="Y4" s="1" t="s">
        <v>18</v>
      </c>
      <c r="Z4" s="14">
        <v>40950</v>
      </c>
    </row>
    <row r="5" spans="1:30" x14ac:dyDescent="0.2">
      <c r="A5" s="5" t="e">
        <f>#REF!</f>
        <v>#REF!</v>
      </c>
      <c r="B5" s="5" t="e">
        <f>VLOOKUP(A5,#REF!,2,FALSE)</f>
        <v>#REF!</v>
      </c>
      <c r="C5" s="5" t="e">
        <f>IF(#REF!="PP",0,IF(#REF!="FF",4,IF(#REF!="PF",2,IF(#REF!="FP",2,"Opção Inválida"))))</f>
        <v>#REF!</v>
      </c>
      <c r="D5" s="5" t="e">
        <f>IF(#REF!="PP",0,IF(#REF!="FF",4,IF(#REF!="PF",2,IF(#REF!="FP",2,"Opção Inválida"))))</f>
        <v>#REF!</v>
      </c>
      <c r="E5" s="5" t="e">
        <f>IF(#REF!="PP",0,IF(#REF!="FF",4,IF(#REF!="PF",2,IF(#REF!="FP",2,"Opção Inválida"))))</f>
        <v>#REF!</v>
      </c>
      <c r="F5" s="5" t="e">
        <f>IF(#REF!="PP",0,IF(#REF!="FF",4,IF(#REF!="PF",2,IF(#REF!="FP",2,"Opção Inválida"))))</f>
        <v>#REF!</v>
      </c>
      <c r="G5" s="5" t="e">
        <f>IF(#REF!="PP",0,IF(#REF!="FF",4,IF(#REF!="PF",2,IF(#REF!="FP",2,"Opção Inválida"))))</f>
        <v>#REF!</v>
      </c>
      <c r="H5" s="5" t="e">
        <f>IF(#REF!="PP",0,IF(#REF!="FF",4,IF(#REF!="PF",2,IF(#REF!="FP",2,"Opção Inválida"))))</f>
        <v>#REF!</v>
      </c>
      <c r="I5" s="5" t="e">
        <f>IF(#REF!="PP",0,IF(#REF!="FF",4,IF(#REF!="PF",2,IF(#REF!="FP",2,"Opção Inválida"))))</f>
        <v>#REF!</v>
      </c>
      <c r="J5" s="5" t="e">
        <f>IF(#REF!="PP",0,IF(#REF!="FF",4,IF(#REF!="PF",2,IF(#REF!="FP",2,"Opção Inválida"))))</f>
        <v>#REF!</v>
      </c>
      <c r="K5" s="5" t="e">
        <f>IF(#REF!="PP",0,IF(#REF!="FF",4,IF(#REF!="PF",2,IF(#REF!="FP",2,"Opção Inválida"))))</f>
        <v>#REF!</v>
      </c>
      <c r="L5" s="5" t="e">
        <f>IF(#REF!="PP",0,IF(#REF!="FF",4,IF(#REF!="PF",2,IF(#REF!="FP",2,"Opção Inválida"))))</f>
        <v>#REF!</v>
      </c>
      <c r="M5" s="5" t="e">
        <f>IF(#REF!="PP",0,IF(#REF!="FF",4,IF(#REF!="PF",2,IF(#REF!="FP",2,"Opção Inválida"))))</f>
        <v>#REF!</v>
      </c>
      <c r="N5" s="5" t="e">
        <f>IF(#REF!="PP",0,IF(#REF!="FF",4,IF(#REF!="PF",2,IF(#REF!="FP",2,"Opção Inválida"))))</f>
        <v>#REF!</v>
      </c>
      <c r="O5" s="5" t="e">
        <f>IF(#REF!="PP",0,IF(#REF!="FF",4,IF(#REF!="PF",2,IF(#REF!="FP",2,"Opção Inválida"))))</f>
        <v>#REF!</v>
      </c>
      <c r="P5" s="5" t="e">
        <f>IF(#REF!="PP",0,IF(#REF!="FF",4,IF(#REF!="PF",2,IF(#REF!="FP",2,"Opção Inválida"))))</f>
        <v>#REF!</v>
      </c>
      <c r="Q5" s="5" t="e">
        <f>IF(#REF!="PP",0,IF(#REF!="FF",4,IF(#REF!="PF",2,IF(#REF!="FP",2,"Opção Inválida"))))</f>
        <v>#REF!</v>
      </c>
      <c r="R5" s="5" t="e">
        <f>IF(#REF!="PP",0,IF(#REF!="FF",4,IF(#REF!="PF",2,IF(#REF!="FP",2,"Opção Inválida"))))</f>
        <v>#REF!</v>
      </c>
      <c r="S5" s="5" t="e">
        <f>IF(#REF!="PP",0,IF(#REF!="FF",4,IF(#REF!="PF",2,IF(#REF!="FP",2,"Opção Inválida"))))</f>
        <v>#REF!</v>
      </c>
      <c r="T5" s="5" t="e">
        <f>IF(#REF!="PP",0,IF(#REF!="FF",4,IF(#REF!="PF",2,IF(#REF!="FP",2,"Opção Inválida"))))</f>
        <v>#REF!</v>
      </c>
      <c r="U5" s="5" t="e">
        <f>IF(#REF!="PP",0,IF(#REF!="FF",4,IF(#REF!="PF",2,IF(#REF!="FP",2,"Opção Inválida"))))</f>
        <v>#REF!</v>
      </c>
      <c r="V5" s="5" t="e">
        <f>IF(#REF!="PP",0,IF(#REF!="FF",4,IF(#REF!="PF",2,IF(#REF!="FP",2,"Opção Inválida"))))</f>
        <v>#REF!</v>
      </c>
      <c r="W5" s="5" t="e">
        <f>SUM(C5:V5)</f>
        <v>#REF!</v>
      </c>
    </row>
    <row r="6" spans="1:30" x14ac:dyDescent="0.2">
      <c r="A6" s="5" t="e">
        <f>#REF!</f>
        <v>#REF!</v>
      </c>
      <c r="B6" s="5" t="e">
        <f>VLOOKUP(A6,#REF!,2,FALSE)</f>
        <v>#REF!</v>
      </c>
      <c r="W6" s="5">
        <f t="shared" ref="W6:W45" si="0">SUM(C6:V6)</f>
        <v>0</v>
      </c>
    </row>
    <row r="7" spans="1:30" x14ac:dyDescent="0.2">
      <c r="A7" s="5" t="e">
        <f>#REF!</f>
        <v>#REF!</v>
      </c>
      <c r="B7" s="5" t="e">
        <f>VLOOKUP(A7,#REF!,2,FALSE)</f>
        <v>#REF!</v>
      </c>
      <c r="W7" s="5">
        <f t="shared" si="0"/>
        <v>0</v>
      </c>
      <c r="Y7" s="2" t="s">
        <v>8</v>
      </c>
    </row>
    <row r="8" spans="1:30" x14ac:dyDescent="0.2">
      <c r="A8" s="5" t="e">
        <f>#REF!</f>
        <v>#REF!</v>
      </c>
      <c r="B8" s="5" t="e">
        <f>VLOOKUP(A8,#REF!,2,FALSE)</f>
        <v>#REF!</v>
      </c>
      <c r="W8" s="5">
        <f t="shared" si="0"/>
        <v>0</v>
      </c>
    </row>
    <row r="9" spans="1:30" x14ac:dyDescent="0.2">
      <c r="A9" s="5" t="e">
        <f>#REF!</f>
        <v>#REF!</v>
      </c>
      <c r="B9" s="5" t="e">
        <f>VLOOKUP(A9,#REF!,2,FALSE)</f>
        <v>#REF!</v>
      </c>
      <c r="W9" s="5">
        <f t="shared" si="0"/>
        <v>0</v>
      </c>
      <c r="Y9" s="2" t="s">
        <v>9</v>
      </c>
    </row>
    <row r="10" spans="1:30" x14ac:dyDescent="0.2">
      <c r="A10" s="5" t="e">
        <f>#REF!</f>
        <v>#REF!</v>
      </c>
      <c r="B10" s="5" t="e">
        <f>VLOOKUP(A10,#REF!,2,FALSE)</f>
        <v>#REF!</v>
      </c>
      <c r="W10" s="5">
        <f t="shared" si="0"/>
        <v>0</v>
      </c>
    </row>
    <row r="11" spans="1:30" x14ac:dyDescent="0.2">
      <c r="A11" s="5" t="e">
        <f>#REF!</f>
        <v>#REF!</v>
      </c>
      <c r="B11" s="5" t="e">
        <f>VLOOKUP(A11,#REF!,2,FALSE)</f>
        <v>#REF!</v>
      </c>
      <c r="W11" s="5">
        <f t="shared" si="0"/>
        <v>0</v>
      </c>
      <c r="Y11" s="2" t="s">
        <v>10</v>
      </c>
    </row>
    <row r="12" spans="1:30" x14ac:dyDescent="0.2">
      <c r="A12" s="5" t="e">
        <f>#REF!</f>
        <v>#REF!</v>
      </c>
      <c r="B12" s="5" t="e">
        <f>VLOOKUP(A12,#REF!,2,FALSE)</f>
        <v>#REF!</v>
      </c>
      <c r="W12" s="5">
        <f t="shared" si="0"/>
        <v>0</v>
      </c>
    </row>
    <row r="13" spans="1:30" x14ac:dyDescent="0.2">
      <c r="A13" s="5" t="e">
        <f>#REF!</f>
        <v>#REF!</v>
      </c>
      <c r="B13" s="5" t="e">
        <f>VLOOKUP(A13,#REF!,2,FALSE)</f>
        <v>#REF!</v>
      </c>
      <c r="W13" s="5">
        <f t="shared" si="0"/>
        <v>0</v>
      </c>
      <c r="Y13" s="2" t="s">
        <v>11</v>
      </c>
    </row>
    <row r="14" spans="1:30" x14ac:dyDescent="0.2">
      <c r="A14" s="5" t="e">
        <f>#REF!</f>
        <v>#REF!</v>
      </c>
      <c r="B14" s="5" t="e">
        <f>VLOOKUP(A14,#REF!,2,FALSE)</f>
        <v>#REF!</v>
      </c>
      <c r="C14" s="2" t="s">
        <v>0</v>
      </c>
      <c r="D14" s="2" t="s">
        <v>0</v>
      </c>
      <c r="E14" s="2" t="s">
        <v>0</v>
      </c>
      <c r="F14" s="2" t="s">
        <v>0</v>
      </c>
      <c r="G14" s="2" t="s">
        <v>0</v>
      </c>
      <c r="H14" s="2" t="s">
        <v>0</v>
      </c>
      <c r="I14" s="2" t="s">
        <v>0</v>
      </c>
      <c r="J14" s="2" t="s">
        <v>0</v>
      </c>
      <c r="K14" s="2" t="s">
        <v>0</v>
      </c>
      <c r="L14" s="2" t="s">
        <v>0</v>
      </c>
      <c r="M14" s="2" t="s">
        <v>0</v>
      </c>
      <c r="N14" s="2" t="s">
        <v>0</v>
      </c>
      <c r="O14" s="2" t="s">
        <v>0</v>
      </c>
      <c r="P14" s="2" t="s">
        <v>0</v>
      </c>
      <c r="Q14" s="2" t="s">
        <v>0</v>
      </c>
      <c r="R14" s="2" t="s">
        <v>0</v>
      </c>
      <c r="S14" s="2" t="s">
        <v>0</v>
      </c>
      <c r="T14" s="2" t="s">
        <v>0</v>
      </c>
      <c r="U14" s="2" t="s">
        <v>0</v>
      </c>
      <c r="V14" s="2" t="s">
        <v>0</v>
      </c>
      <c r="W14" s="5">
        <f t="shared" si="0"/>
        <v>0</v>
      </c>
      <c r="X14" s="2" t="s">
        <v>0</v>
      </c>
    </row>
    <row r="15" spans="1:30" x14ac:dyDescent="0.2">
      <c r="A15" s="5" t="e">
        <f>#REF!</f>
        <v>#REF!</v>
      </c>
      <c r="B15" s="5" t="e">
        <f>VLOOKUP(A15,#REF!,2,FALSE)</f>
        <v>#REF!</v>
      </c>
      <c r="W15" s="5">
        <f t="shared" si="0"/>
        <v>0</v>
      </c>
      <c r="AB15" s="6" t="s">
        <v>12</v>
      </c>
      <c r="AC15" s="7" t="s">
        <v>1</v>
      </c>
      <c r="AD15" s="8" t="s">
        <v>13</v>
      </c>
    </row>
    <row r="16" spans="1:30" x14ac:dyDescent="0.2">
      <c r="A16" s="5" t="e">
        <f>#REF!</f>
        <v>#REF!</v>
      </c>
      <c r="B16" s="5" t="e">
        <f>VLOOKUP(A16,#REF!,2,FALSE)</f>
        <v>#REF!</v>
      </c>
      <c r="W16" s="5">
        <f t="shared" si="0"/>
        <v>0</v>
      </c>
      <c r="AB16" s="9" t="s">
        <v>2</v>
      </c>
      <c r="AC16" s="4">
        <v>0</v>
      </c>
      <c r="AD16" s="10" t="s">
        <v>16</v>
      </c>
    </row>
    <row r="17" spans="1:30" x14ac:dyDescent="0.2">
      <c r="A17" s="5" t="e">
        <f>#REF!</f>
        <v>#REF!</v>
      </c>
      <c r="B17" s="5" t="e">
        <f>VLOOKUP(A17,#REF!,2,FALSE)</f>
        <v>#REF!</v>
      </c>
      <c r="W17" s="5">
        <f t="shared" si="0"/>
        <v>0</v>
      </c>
      <c r="AB17" s="9" t="s">
        <v>7</v>
      </c>
      <c r="AC17" s="4">
        <v>2</v>
      </c>
      <c r="AD17" s="10" t="s">
        <v>15</v>
      </c>
    </row>
    <row r="18" spans="1:30" x14ac:dyDescent="0.2">
      <c r="A18" s="5" t="e">
        <f>#REF!</f>
        <v>#REF!</v>
      </c>
      <c r="B18" s="5" t="e">
        <f>VLOOKUP(A18,#REF!,2,FALSE)</f>
        <v>#REF!</v>
      </c>
      <c r="W18" s="5">
        <f t="shared" si="0"/>
        <v>0</v>
      </c>
      <c r="AB18" s="9" t="s">
        <v>6</v>
      </c>
      <c r="AC18" s="4">
        <v>2</v>
      </c>
      <c r="AD18" s="10" t="s">
        <v>15</v>
      </c>
    </row>
    <row r="19" spans="1:30" x14ac:dyDescent="0.2">
      <c r="A19" s="5" t="e">
        <f>#REF!</f>
        <v>#REF!</v>
      </c>
      <c r="B19" s="5" t="e">
        <f>VLOOKUP(A19,#REF!,2,FALSE)</f>
        <v>#REF!</v>
      </c>
      <c r="W19" s="5">
        <f t="shared" si="0"/>
        <v>0</v>
      </c>
      <c r="AB19" s="11" t="s">
        <v>3</v>
      </c>
      <c r="AC19" s="12">
        <v>4</v>
      </c>
      <c r="AD19" s="13" t="s">
        <v>14</v>
      </c>
    </row>
    <row r="20" spans="1:30" x14ac:dyDescent="0.2">
      <c r="A20" s="5" t="e">
        <f>#REF!</f>
        <v>#REF!</v>
      </c>
      <c r="B20" s="5" t="e">
        <f>VLOOKUP(A20,#REF!,2,FALSE)</f>
        <v>#REF!</v>
      </c>
      <c r="W20" s="5">
        <f t="shared" si="0"/>
        <v>0</v>
      </c>
    </row>
    <row r="21" spans="1:30" x14ac:dyDescent="0.2">
      <c r="A21" s="5" t="e">
        <f>#REF!</f>
        <v>#REF!</v>
      </c>
      <c r="B21" s="5" t="e">
        <f>VLOOKUP(A21,#REF!,2,FALSE)</f>
        <v>#REF!</v>
      </c>
      <c r="W21" s="5">
        <f t="shared" si="0"/>
        <v>0</v>
      </c>
      <c r="X21" s="2"/>
    </row>
    <row r="22" spans="1:30" x14ac:dyDescent="0.2">
      <c r="A22" s="5" t="e">
        <f>#REF!</f>
        <v>#REF!</v>
      </c>
      <c r="B22" s="5" t="e">
        <f>VLOOKUP(A22,#REF!,2,FALSE)</f>
        <v>#REF!</v>
      </c>
      <c r="W22" s="5">
        <f t="shared" si="0"/>
        <v>0</v>
      </c>
    </row>
    <row r="23" spans="1:30" x14ac:dyDescent="0.2">
      <c r="A23" s="5" t="e">
        <f>#REF!</f>
        <v>#REF!</v>
      </c>
      <c r="B23" s="5" t="e">
        <f>VLOOKUP(A23,#REF!,2,FALSE)</f>
        <v>#REF!</v>
      </c>
      <c r="W23" s="5">
        <f t="shared" si="0"/>
        <v>0</v>
      </c>
    </row>
    <row r="24" spans="1:30" x14ac:dyDescent="0.2">
      <c r="A24" s="5" t="e">
        <f>#REF!</f>
        <v>#REF!</v>
      </c>
      <c r="B24" s="5" t="e">
        <f>VLOOKUP(A24,#REF!,2,FALSE)</f>
        <v>#REF!</v>
      </c>
      <c r="W24" s="5">
        <f t="shared" si="0"/>
        <v>0</v>
      </c>
      <c r="X24" s="2"/>
      <c r="AA24" s="3"/>
    </row>
    <row r="25" spans="1:30" x14ac:dyDescent="0.2">
      <c r="A25" s="5" t="e">
        <f>#REF!</f>
        <v>#REF!</v>
      </c>
      <c r="B25" s="5" t="e">
        <f>VLOOKUP(A25,#REF!,2,FALSE)</f>
        <v>#REF!</v>
      </c>
      <c r="W25" s="5">
        <f t="shared" si="0"/>
        <v>0</v>
      </c>
      <c r="AA25" s="3"/>
    </row>
    <row r="26" spans="1:30" x14ac:dyDescent="0.2">
      <c r="A26" s="5" t="e">
        <f>#REF!</f>
        <v>#REF!</v>
      </c>
      <c r="B26" s="5" t="e">
        <f>VLOOKUP(A26,#REF!,2,FALSE)</f>
        <v>#REF!</v>
      </c>
      <c r="W26" s="5">
        <f t="shared" si="0"/>
        <v>0</v>
      </c>
      <c r="AA26" s="3"/>
    </row>
    <row r="27" spans="1:30" x14ac:dyDescent="0.2">
      <c r="A27" s="5" t="e">
        <f>#REF!</f>
        <v>#REF!</v>
      </c>
      <c r="B27" s="5" t="e">
        <f>VLOOKUP(A27,#REF!,2,FALSE)</f>
        <v>#REF!</v>
      </c>
      <c r="W27" s="5">
        <f t="shared" si="0"/>
        <v>0</v>
      </c>
      <c r="AA27" s="3"/>
    </row>
    <row r="28" spans="1:30" x14ac:dyDescent="0.2">
      <c r="A28" s="5" t="e">
        <f>#REF!</f>
        <v>#REF!</v>
      </c>
      <c r="B28" s="5" t="e">
        <f>VLOOKUP(A28,#REF!,2,FALSE)</f>
        <v>#REF!</v>
      </c>
      <c r="W28" s="5">
        <f t="shared" si="0"/>
        <v>0</v>
      </c>
    </row>
    <row r="29" spans="1:30" x14ac:dyDescent="0.2">
      <c r="A29" s="5" t="e">
        <f>#REF!</f>
        <v>#REF!</v>
      </c>
      <c r="B29" s="5" t="e">
        <f>VLOOKUP(A29,#REF!,2,FALSE)</f>
        <v>#REF!</v>
      </c>
      <c r="W29" s="5">
        <f t="shared" si="0"/>
        <v>0</v>
      </c>
    </row>
    <row r="30" spans="1:30" x14ac:dyDescent="0.2">
      <c r="A30" s="5" t="e">
        <f>#REF!</f>
        <v>#REF!</v>
      </c>
      <c r="B30" s="5" t="e">
        <f>VLOOKUP(A30,#REF!,2,FALSE)</f>
        <v>#REF!</v>
      </c>
      <c r="W30" s="5">
        <f t="shared" si="0"/>
        <v>0</v>
      </c>
    </row>
    <row r="31" spans="1:30" x14ac:dyDescent="0.2">
      <c r="A31" s="5" t="e">
        <f>#REF!</f>
        <v>#REF!</v>
      </c>
      <c r="B31" s="5" t="e">
        <f>VLOOKUP(A31,#REF!,2,FALSE)</f>
        <v>#REF!</v>
      </c>
      <c r="W31" s="5">
        <f t="shared" si="0"/>
        <v>0</v>
      </c>
    </row>
    <row r="32" spans="1:30" x14ac:dyDescent="0.2">
      <c r="A32" s="5" t="e">
        <f>#REF!</f>
        <v>#REF!</v>
      </c>
      <c r="B32" s="5" t="e">
        <f>VLOOKUP(A32,#REF!,2,FALSE)</f>
        <v>#REF!</v>
      </c>
      <c r="W32" s="5">
        <f t="shared" si="0"/>
        <v>0</v>
      </c>
    </row>
    <row r="33" spans="1:23" x14ac:dyDescent="0.2">
      <c r="A33" s="5" t="e">
        <f>#REF!</f>
        <v>#REF!</v>
      </c>
      <c r="B33" s="5" t="e">
        <f>VLOOKUP(A33,#REF!,2,FALSE)</f>
        <v>#REF!</v>
      </c>
      <c r="W33" s="5">
        <f t="shared" si="0"/>
        <v>0</v>
      </c>
    </row>
    <row r="34" spans="1:23" x14ac:dyDescent="0.2">
      <c r="A34" s="5" t="e">
        <f>#REF!</f>
        <v>#REF!</v>
      </c>
      <c r="B34" s="5" t="e">
        <f>VLOOKUP(A34,#REF!,2,FALSE)</f>
        <v>#REF!</v>
      </c>
      <c r="W34" s="5">
        <f t="shared" si="0"/>
        <v>0</v>
      </c>
    </row>
    <row r="35" spans="1:23" x14ac:dyDescent="0.2">
      <c r="A35" s="5" t="e">
        <f>#REF!</f>
        <v>#REF!</v>
      </c>
      <c r="B35" s="5" t="e">
        <f>VLOOKUP(A35,#REF!,2,FALSE)</f>
        <v>#REF!</v>
      </c>
      <c r="W35" s="5">
        <f t="shared" si="0"/>
        <v>0</v>
      </c>
    </row>
    <row r="36" spans="1:23" x14ac:dyDescent="0.2">
      <c r="A36" s="5" t="e">
        <f>#REF!</f>
        <v>#REF!</v>
      </c>
      <c r="B36" s="5" t="e">
        <f>VLOOKUP(A36,#REF!,2,FALSE)</f>
        <v>#REF!</v>
      </c>
      <c r="W36" s="5">
        <f t="shared" si="0"/>
        <v>0</v>
      </c>
    </row>
    <row r="37" spans="1:23" x14ac:dyDescent="0.2">
      <c r="A37" s="5" t="e">
        <f>#REF!</f>
        <v>#REF!</v>
      </c>
      <c r="B37" s="5" t="e">
        <f>VLOOKUP(A37,#REF!,2,FALSE)</f>
        <v>#REF!</v>
      </c>
      <c r="W37" s="5">
        <f t="shared" si="0"/>
        <v>0</v>
      </c>
    </row>
    <row r="38" spans="1:23" x14ac:dyDescent="0.2">
      <c r="A38" s="5" t="e">
        <f>#REF!</f>
        <v>#REF!</v>
      </c>
      <c r="B38" s="5" t="e">
        <f>VLOOKUP(A38,#REF!,2,FALSE)</f>
        <v>#REF!</v>
      </c>
      <c r="W38" s="5">
        <f t="shared" si="0"/>
        <v>0</v>
      </c>
    </row>
    <row r="39" spans="1:23" x14ac:dyDescent="0.2">
      <c r="A39" s="5" t="e">
        <f>#REF!</f>
        <v>#REF!</v>
      </c>
      <c r="B39" s="5" t="e">
        <f>VLOOKUP(A39,#REF!,2,FALSE)</f>
        <v>#REF!</v>
      </c>
      <c r="W39" s="5">
        <f t="shared" si="0"/>
        <v>0</v>
      </c>
    </row>
    <row r="40" spans="1:23" x14ac:dyDescent="0.2">
      <c r="A40" s="5" t="e">
        <f>#REF!</f>
        <v>#REF!</v>
      </c>
      <c r="B40" s="5" t="e">
        <f>VLOOKUP(A40,#REF!,2,FALSE)</f>
        <v>#REF!</v>
      </c>
      <c r="W40" s="5">
        <f t="shared" si="0"/>
        <v>0</v>
      </c>
    </row>
    <row r="41" spans="1:23" x14ac:dyDescent="0.2">
      <c r="A41" s="5" t="e">
        <f>#REF!</f>
        <v>#REF!</v>
      </c>
      <c r="B41" s="5" t="e">
        <f>VLOOKUP(A41,#REF!,2,FALSE)</f>
        <v>#REF!</v>
      </c>
      <c r="W41" s="5">
        <f t="shared" si="0"/>
        <v>0</v>
      </c>
    </row>
    <row r="42" spans="1:23" x14ac:dyDescent="0.2">
      <c r="A42" s="5" t="e">
        <f>#REF!</f>
        <v>#REF!</v>
      </c>
      <c r="B42" s="5" t="e">
        <f>VLOOKUP(A42,#REF!,2,FALSE)</f>
        <v>#REF!</v>
      </c>
      <c r="W42" s="5">
        <f t="shared" si="0"/>
        <v>0</v>
      </c>
    </row>
    <row r="43" spans="1:23" x14ac:dyDescent="0.2">
      <c r="A43" s="5" t="e">
        <f>#REF!</f>
        <v>#REF!</v>
      </c>
      <c r="B43" s="5" t="e">
        <f>VLOOKUP(A43,#REF!,2,FALSE)</f>
        <v>#REF!</v>
      </c>
      <c r="W43" s="5">
        <f t="shared" si="0"/>
        <v>0</v>
      </c>
    </row>
    <row r="44" spans="1:23" x14ac:dyDescent="0.2">
      <c r="A44" s="5" t="e">
        <f>#REF!</f>
        <v>#REF!</v>
      </c>
      <c r="B44" s="5" t="e">
        <f>VLOOKUP(A44,#REF!,2,FALSE)</f>
        <v>#REF!</v>
      </c>
      <c r="W44" s="5">
        <f t="shared" si="0"/>
        <v>0</v>
      </c>
    </row>
    <row r="45" spans="1:23" x14ac:dyDescent="0.2">
      <c r="A45" s="5" t="e">
        <f>#REF!</f>
        <v>#REF!</v>
      </c>
      <c r="B45" s="5" t="e">
        <f>VLOOKUP(A45,#REF!,2,FALSE)</f>
        <v>#REF!</v>
      </c>
      <c r="W45" s="5">
        <f t="shared" si="0"/>
        <v>0</v>
      </c>
    </row>
    <row r="46" spans="1:23" x14ac:dyDescent="0.2">
      <c r="A46" s="2" t="s">
        <v>0</v>
      </c>
    </row>
    <row r="47" spans="1:23" x14ac:dyDescent="0.2">
      <c r="A47" s="2" t="s">
        <v>0</v>
      </c>
    </row>
    <row r="48" spans="1:23" x14ac:dyDescent="0.2">
      <c r="A48" s="2" t="s">
        <v>0</v>
      </c>
    </row>
    <row r="49" spans="1:1" x14ac:dyDescent="0.2">
      <c r="A49" s="2" t="s">
        <v>0</v>
      </c>
    </row>
    <row r="50" spans="1:1" x14ac:dyDescent="0.2">
      <c r="A50" s="5" t="e">
        <f>#REF!</f>
        <v>#REF!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G59"/>
  <sheetViews>
    <sheetView tabSelected="1" workbookViewId="0"/>
  </sheetViews>
  <sheetFormatPr defaultColWidth="9.140625" defaultRowHeight="12.75" x14ac:dyDescent="0.2"/>
  <cols>
    <col min="1" max="1" width="18.28515625" style="5" bestFit="1" customWidth="1"/>
    <col min="2" max="2" width="48.28515625" style="5" bestFit="1" customWidth="1"/>
    <col min="3" max="3" width="31.7109375" style="5" bestFit="1" customWidth="1"/>
    <col min="4" max="16384" width="9.140625" style="5"/>
  </cols>
  <sheetData>
    <row r="1" spans="1:7" x14ac:dyDescent="0.2">
      <c r="A1" s="5" t="s">
        <v>51</v>
      </c>
      <c r="B1" s="5" t="s">
        <v>52</v>
      </c>
      <c r="D1" s="5" t="s">
        <v>20</v>
      </c>
    </row>
    <row r="2" spans="1:7" x14ac:dyDescent="0.2">
      <c r="A2" s="32" t="s">
        <v>53</v>
      </c>
      <c r="B2" s="32" t="s">
        <v>54</v>
      </c>
      <c r="D2" s="5" t="s">
        <v>24</v>
      </c>
    </row>
    <row r="3" spans="1:7" x14ac:dyDescent="0.2">
      <c r="A3" s="5" t="s">
        <v>55</v>
      </c>
      <c r="B3" s="5" t="s">
        <v>56</v>
      </c>
      <c r="D3" s="5" t="s">
        <v>21</v>
      </c>
    </row>
    <row r="4" spans="1:7" x14ac:dyDescent="0.2">
      <c r="A4" s="5" t="s">
        <v>57</v>
      </c>
      <c r="B4" s="5" t="s">
        <v>58</v>
      </c>
      <c r="D4" s="5" t="s">
        <v>22</v>
      </c>
    </row>
    <row r="5" spans="1:7" x14ac:dyDescent="0.2">
      <c r="A5" s="5" t="s">
        <v>59</v>
      </c>
      <c r="B5" s="5" t="s">
        <v>60</v>
      </c>
      <c r="D5" s="5" t="s">
        <v>23</v>
      </c>
    </row>
    <row r="6" spans="1:7" x14ac:dyDescent="0.2">
      <c r="A6" s="5" t="s">
        <v>61</v>
      </c>
      <c r="B6" s="5" t="s">
        <v>62</v>
      </c>
      <c r="D6" s="5" t="s">
        <v>25</v>
      </c>
    </row>
    <row r="7" spans="1:7" x14ac:dyDescent="0.2">
      <c r="A7" s="5" t="s">
        <v>63</v>
      </c>
      <c r="B7" s="5" t="s">
        <v>64</v>
      </c>
      <c r="D7" s="5" t="s">
        <v>26</v>
      </c>
    </row>
    <row r="8" spans="1:7" x14ac:dyDescent="0.2">
      <c r="A8" s="5" t="s">
        <v>65</v>
      </c>
      <c r="B8" s="5" t="s">
        <v>66</v>
      </c>
      <c r="D8" s="15" t="s">
        <v>41</v>
      </c>
    </row>
    <row r="9" spans="1:7" x14ac:dyDescent="0.2">
      <c r="A9" s="5" t="s">
        <v>67</v>
      </c>
      <c r="B9" s="5" t="s">
        <v>68</v>
      </c>
    </row>
    <row r="10" spans="1:7" x14ac:dyDescent="0.2">
      <c r="A10" s="5" t="s">
        <v>69</v>
      </c>
      <c r="B10" s="5" t="s">
        <v>70</v>
      </c>
      <c r="D10" s="5" t="s">
        <v>27</v>
      </c>
      <c r="G10" s="5" t="s">
        <v>28</v>
      </c>
    </row>
    <row r="11" spans="1:7" x14ac:dyDescent="0.2">
      <c r="A11" s="5" t="s">
        <v>71</v>
      </c>
      <c r="B11" s="5" t="s">
        <v>72</v>
      </c>
      <c r="D11" s="5" t="s">
        <v>30</v>
      </c>
      <c r="G11" s="5" t="s">
        <v>29</v>
      </c>
    </row>
    <row r="12" spans="1:7" x14ac:dyDescent="0.2">
      <c r="A12" s="5" t="s">
        <v>73</v>
      </c>
      <c r="B12" s="5" t="s">
        <v>74</v>
      </c>
    </row>
    <row r="13" spans="1:7" x14ac:dyDescent="0.2">
      <c r="A13" s="5" t="s">
        <v>75</v>
      </c>
      <c r="B13" s="5" t="s">
        <v>76</v>
      </c>
    </row>
    <row r="14" spans="1:7" x14ac:dyDescent="0.2">
      <c r="A14" s="5" t="s">
        <v>77</v>
      </c>
      <c r="B14" s="5" t="s">
        <v>78</v>
      </c>
    </row>
    <row r="15" spans="1:7" x14ac:dyDescent="0.2">
      <c r="A15" s="5" t="s">
        <v>79</v>
      </c>
      <c r="B15" s="5" t="s">
        <v>80</v>
      </c>
    </row>
    <row r="16" spans="1:7" x14ac:dyDescent="0.2">
      <c r="A16" s="5" t="s">
        <v>81</v>
      </c>
      <c r="B16" s="5" t="s">
        <v>82</v>
      </c>
    </row>
    <row r="17" spans="1:2" x14ac:dyDescent="0.2">
      <c r="A17" s="5" t="s">
        <v>83</v>
      </c>
      <c r="B17" s="5" t="s">
        <v>84</v>
      </c>
    </row>
    <row r="18" spans="1:2" x14ac:dyDescent="0.2">
      <c r="A18" s="5" t="s">
        <v>85</v>
      </c>
      <c r="B18" s="5" t="s">
        <v>86</v>
      </c>
    </row>
    <row r="19" spans="1:2" x14ac:dyDescent="0.2">
      <c r="A19" s="5" t="s">
        <v>87</v>
      </c>
      <c r="B19" s="5" t="s">
        <v>88</v>
      </c>
    </row>
    <row r="20" spans="1:2" x14ac:dyDescent="0.2">
      <c r="A20" s="5" t="s">
        <v>89</v>
      </c>
      <c r="B20" s="5" t="s">
        <v>90</v>
      </c>
    </row>
    <row r="21" spans="1:2" x14ac:dyDescent="0.2">
      <c r="A21" s="5" t="s">
        <v>91</v>
      </c>
      <c r="B21" s="5" t="s">
        <v>92</v>
      </c>
    </row>
    <row r="22" spans="1:2" x14ac:dyDescent="0.2">
      <c r="A22" s="5" t="s">
        <v>93</v>
      </c>
      <c r="B22" s="5" t="s">
        <v>94</v>
      </c>
    </row>
    <row r="23" spans="1:2" x14ac:dyDescent="0.2">
      <c r="A23" s="5" t="s">
        <v>95</v>
      </c>
      <c r="B23" s="5" t="s">
        <v>96</v>
      </c>
    </row>
    <row r="24" spans="1:2" x14ac:dyDescent="0.2">
      <c r="A24" s="5" t="s">
        <v>97</v>
      </c>
      <c r="B24" s="5" t="s">
        <v>98</v>
      </c>
    </row>
    <row r="25" spans="1:2" x14ac:dyDescent="0.2">
      <c r="A25" s="5" t="s">
        <v>99</v>
      </c>
      <c r="B25" s="5" t="s">
        <v>100</v>
      </c>
    </row>
    <row r="26" spans="1:2" x14ac:dyDescent="0.2">
      <c r="A26" s="5" t="s">
        <v>101</v>
      </c>
      <c r="B26" s="5" t="s">
        <v>102</v>
      </c>
    </row>
    <row r="27" spans="1:2" x14ac:dyDescent="0.2">
      <c r="A27" s="5" t="s">
        <v>103</v>
      </c>
      <c r="B27" s="5" t="s">
        <v>104</v>
      </c>
    </row>
    <row r="28" spans="1:2" x14ac:dyDescent="0.2">
      <c r="A28" s="5" t="s">
        <v>105</v>
      </c>
      <c r="B28" s="5" t="s">
        <v>106</v>
      </c>
    </row>
    <row r="29" spans="1:2" x14ac:dyDescent="0.2">
      <c r="A29" s="5" t="s">
        <v>107</v>
      </c>
      <c r="B29" s="5" t="s">
        <v>108</v>
      </c>
    </row>
    <row r="30" spans="1:2" x14ac:dyDescent="0.2">
      <c r="A30" s="5" t="s">
        <v>109</v>
      </c>
      <c r="B30" s="5" t="s">
        <v>110</v>
      </c>
    </row>
    <row r="31" spans="1:2" x14ac:dyDescent="0.2">
      <c r="A31" s="5" t="s">
        <v>111</v>
      </c>
      <c r="B31" s="5" t="s">
        <v>112</v>
      </c>
    </row>
    <row r="32" spans="1:2" x14ac:dyDescent="0.2">
      <c r="A32" s="5" t="s">
        <v>113</v>
      </c>
      <c r="B32" s="5" t="s">
        <v>114</v>
      </c>
    </row>
    <row r="33" spans="1:2" x14ac:dyDescent="0.2">
      <c r="A33" s="5" t="s">
        <v>115</v>
      </c>
      <c r="B33" s="5" t="s">
        <v>116</v>
      </c>
    </row>
    <row r="34" spans="1:2" x14ac:dyDescent="0.2">
      <c r="A34" s="5" t="s">
        <v>117</v>
      </c>
      <c r="B34" s="5" t="s">
        <v>118</v>
      </c>
    </row>
    <row r="35" spans="1:2" x14ac:dyDescent="0.2">
      <c r="A35" s="5" t="s">
        <v>119</v>
      </c>
      <c r="B35" s="5" t="s">
        <v>120</v>
      </c>
    </row>
    <row r="36" spans="1:2" x14ac:dyDescent="0.2">
      <c r="A36" s="5" t="s">
        <v>121</v>
      </c>
      <c r="B36" s="5" t="s">
        <v>122</v>
      </c>
    </row>
    <row r="37" spans="1:2" x14ac:dyDescent="0.2">
      <c r="A37" s="5" t="s">
        <v>123</v>
      </c>
      <c r="B37" s="5" t="s">
        <v>124</v>
      </c>
    </row>
    <row r="38" spans="1:2" x14ac:dyDescent="0.2">
      <c r="A38" s="5" t="s">
        <v>125</v>
      </c>
      <c r="B38" s="5" t="s">
        <v>126</v>
      </c>
    </row>
    <row r="39" spans="1:2" x14ac:dyDescent="0.2">
      <c r="A39" s="5" t="s">
        <v>127</v>
      </c>
      <c r="B39" s="5" t="s">
        <v>128</v>
      </c>
    </row>
    <row r="40" spans="1:2" x14ac:dyDescent="0.2">
      <c r="A40" s="5" t="s">
        <v>129</v>
      </c>
      <c r="B40" s="5" t="s">
        <v>130</v>
      </c>
    </row>
    <row r="41" spans="1:2" x14ac:dyDescent="0.2">
      <c r="A41" s="5" t="s">
        <v>131</v>
      </c>
      <c r="B41" s="5" t="s">
        <v>132</v>
      </c>
    </row>
    <row r="42" spans="1:2" x14ac:dyDescent="0.2">
      <c r="A42" s="5" t="s">
        <v>133</v>
      </c>
      <c r="B42" s="5" t="s">
        <v>134</v>
      </c>
    </row>
    <row r="43" spans="1:2" x14ac:dyDescent="0.2">
      <c r="A43" s="5" t="s">
        <v>135</v>
      </c>
      <c r="B43" s="5" t="s">
        <v>136</v>
      </c>
    </row>
    <row r="44" spans="1:2" x14ac:dyDescent="0.2">
      <c r="A44" s="5" t="s">
        <v>137</v>
      </c>
      <c r="B44" s="5" t="s">
        <v>138</v>
      </c>
    </row>
    <row r="45" spans="1:2" x14ac:dyDescent="0.2">
      <c r="A45" s="5" t="s">
        <v>139</v>
      </c>
      <c r="B45" s="5" t="s">
        <v>140</v>
      </c>
    </row>
    <row r="46" spans="1:2" x14ac:dyDescent="0.2">
      <c r="A46" s="5" t="s">
        <v>141</v>
      </c>
      <c r="B46" s="5" t="s">
        <v>142</v>
      </c>
    </row>
    <row r="47" spans="1:2" x14ac:dyDescent="0.2">
      <c r="A47" s="5" t="s">
        <v>143</v>
      </c>
      <c r="B47" s="5" t="s">
        <v>144</v>
      </c>
    </row>
    <row r="48" spans="1:2" x14ac:dyDescent="0.2">
      <c r="A48" s="5" t="s">
        <v>145</v>
      </c>
      <c r="B48" s="5" t="s">
        <v>146</v>
      </c>
    </row>
    <row r="49" spans="1:2" x14ac:dyDescent="0.2">
      <c r="A49" s="5" t="s">
        <v>147</v>
      </c>
      <c r="B49" s="5" t="s">
        <v>148</v>
      </c>
    </row>
    <row r="50" spans="1:2" x14ac:dyDescent="0.2">
      <c r="A50" s="5" t="s">
        <v>149</v>
      </c>
      <c r="B50" s="5" t="s">
        <v>150</v>
      </c>
    </row>
    <row r="51" spans="1:2" x14ac:dyDescent="0.2">
      <c r="A51" s="5" t="s">
        <v>151</v>
      </c>
      <c r="B51" s="5" t="s">
        <v>152</v>
      </c>
    </row>
    <row r="52" spans="1:2" x14ac:dyDescent="0.2">
      <c r="A52" s="5" t="s">
        <v>153</v>
      </c>
      <c r="B52" s="5" t="s">
        <v>154</v>
      </c>
    </row>
    <row r="53" spans="1:2" x14ac:dyDescent="0.2">
      <c r="A53" s="5" t="s">
        <v>155</v>
      </c>
      <c r="B53" s="5" t="s">
        <v>156</v>
      </c>
    </row>
    <row r="54" spans="1:2" x14ac:dyDescent="0.2">
      <c r="A54" s="5" t="s">
        <v>157</v>
      </c>
      <c r="B54" s="5" t="s">
        <v>158</v>
      </c>
    </row>
    <row r="55" spans="1:2" x14ac:dyDescent="0.2">
      <c r="A55" s="5" t="s">
        <v>159</v>
      </c>
      <c r="B55" s="5" t="s">
        <v>160</v>
      </c>
    </row>
    <row r="56" spans="1:2" x14ac:dyDescent="0.2">
      <c r="A56" s="5" t="s">
        <v>161</v>
      </c>
      <c r="B56" s="5" t="s">
        <v>162</v>
      </c>
    </row>
    <row r="57" spans="1:2" x14ac:dyDescent="0.2">
      <c r="A57" s="5" t="s">
        <v>163</v>
      </c>
      <c r="B57" s="5" t="s">
        <v>164</v>
      </c>
    </row>
    <row r="58" spans="1:2" x14ac:dyDescent="0.2">
      <c r="A58" s="5" t="s">
        <v>165</v>
      </c>
      <c r="B58" s="5" t="s">
        <v>166</v>
      </c>
    </row>
    <row r="59" spans="1:2" x14ac:dyDescent="0.2">
      <c r="A59" s="32"/>
      <c r="B59" s="32"/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0</xdr:colOff>
                    <xdr:row>12</xdr:row>
                    <xdr:rowOff>9525</xdr:rowOff>
                  </from>
                  <to>
                    <xdr:col>10</xdr:col>
                    <xdr:colOff>9525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1">
                <anchor moveWithCells="1" sizeWithCells="1">
                  <from>
                    <xdr:col>8</xdr:col>
                    <xdr:colOff>19050</xdr:colOff>
                    <xdr:row>19</xdr:row>
                    <xdr:rowOff>19050</xdr:rowOff>
                  </from>
                  <to>
                    <xdr:col>10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H52"/>
  <sheetViews>
    <sheetView workbookViewId="0"/>
  </sheetViews>
  <sheetFormatPr defaultRowHeight="12.75" x14ac:dyDescent="0.2"/>
  <cols>
    <col min="1" max="1" width="13.5703125" style="5" bestFit="1" customWidth="1"/>
    <col min="2" max="2" width="45.42578125" style="5" bestFit="1" customWidth="1"/>
    <col min="3" max="3" width="35" style="5" bestFit="1" customWidth="1"/>
    <col min="4" max="4" width="7.42578125" style="5" bestFit="1" customWidth="1"/>
    <col min="5" max="6" width="3.5703125" bestFit="1" customWidth="1"/>
    <col min="7" max="24" width="3.5703125" customWidth="1"/>
    <col min="25" max="25" width="14.28515625" style="5" bestFit="1" customWidth="1"/>
    <col min="26" max="26" width="19.140625" bestFit="1" customWidth="1"/>
    <col min="27" max="28" width="8.7109375" style="5" customWidth="1"/>
    <col min="30" max="30" width="12.5703125" style="5" bestFit="1" customWidth="1"/>
    <col min="31" max="31" width="12.140625" style="5" bestFit="1" customWidth="1"/>
    <col min="32" max="32" width="15.140625" style="19" bestFit="1" customWidth="1"/>
    <col min="33" max="33" width="14.28515625" style="19" bestFit="1" customWidth="1"/>
  </cols>
  <sheetData>
    <row r="1" spans="1:34" x14ac:dyDescent="0.2">
      <c r="A1" s="5" t="str">
        <f>'Macro &amp; Importar'!A1</f>
        <v>RA</v>
      </c>
      <c r="B1" s="5" t="str">
        <f>'Macro &amp; Importar'!B1</f>
        <v>ALUNO</v>
      </c>
      <c r="C1" s="5">
        <f>'Macro &amp; Importar'!C1</f>
        <v>0</v>
      </c>
      <c r="D1" s="1" t="s">
        <v>19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 t="s">
        <v>49</v>
      </c>
      <c r="Z1" s="1" t="s">
        <v>50</v>
      </c>
      <c r="AA1" s="1" t="s">
        <v>31</v>
      </c>
      <c r="AB1" s="1" t="s">
        <v>32</v>
      </c>
      <c r="AC1" s="1" t="s">
        <v>33</v>
      </c>
      <c r="AD1" s="1" t="s">
        <v>36</v>
      </c>
      <c r="AE1" s="1" t="s">
        <v>37</v>
      </c>
      <c r="AF1" s="17" t="s">
        <v>34</v>
      </c>
      <c r="AG1" s="17" t="s">
        <v>35</v>
      </c>
      <c r="AH1" s="1"/>
    </row>
    <row r="2" spans="1:34" x14ac:dyDescent="0.2">
      <c r="A2" s="5" t="str">
        <f>'Macro &amp; Importar'!A2</f>
        <v xml:space="preserve">1110481823019       </v>
      </c>
      <c r="B2" s="5" t="str">
        <f>'Macro &amp; Importar'!B2</f>
        <v>ALAN ANDRADE MUNIZ</v>
      </c>
      <c r="C2" s="5">
        <f>'Macro &amp; Importar'!C2</f>
        <v>0</v>
      </c>
      <c r="D2" s="5">
        <f ca="1">RANDBETWEEN(1,7)</f>
        <v>4</v>
      </c>
      <c r="E2" s="21" t="s">
        <v>2</v>
      </c>
      <c r="F2" s="21" t="s">
        <v>2</v>
      </c>
      <c r="G2" s="21" t="s">
        <v>2</v>
      </c>
      <c r="H2" s="21" t="s">
        <v>2</v>
      </c>
      <c r="I2" s="21" t="s">
        <v>2</v>
      </c>
      <c r="J2" s="21" t="s">
        <v>2</v>
      </c>
      <c r="K2" s="21" t="s">
        <v>2</v>
      </c>
      <c r="L2" s="21" t="s">
        <v>2</v>
      </c>
      <c r="M2" s="21" t="s">
        <v>40</v>
      </c>
      <c r="N2" s="21" t="s">
        <v>2</v>
      </c>
      <c r="O2" s="20" t="s">
        <v>2</v>
      </c>
      <c r="P2" s="20" t="s">
        <v>2</v>
      </c>
      <c r="Q2" s="20" t="s">
        <v>2</v>
      </c>
      <c r="R2" s="20" t="s">
        <v>2</v>
      </c>
      <c r="S2" s="21" t="s">
        <v>6</v>
      </c>
      <c r="T2" s="21" t="s">
        <v>40</v>
      </c>
      <c r="U2" s="21" t="s">
        <v>7</v>
      </c>
      <c r="V2" s="21" t="s">
        <v>39</v>
      </c>
      <c r="W2" s="21" t="s">
        <v>3</v>
      </c>
      <c r="X2" s="21" t="s">
        <v>40</v>
      </c>
      <c r="Y2" s="2"/>
      <c r="Z2" s="2"/>
      <c r="AA2" s="5">
        <f ca="1">RANDBETWEEN(1,10)</f>
        <v>8</v>
      </c>
      <c r="AB2" s="5">
        <f ca="1">RANDBETWEEN(1,10)</f>
        <v>10</v>
      </c>
      <c r="AC2" s="5">
        <f ca="1">RANDBETWEEN(1,10)</f>
        <v>6</v>
      </c>
      <c r="AD2" s="16"/>
      <c r="AE2" s="16"/>
      <c r="AF2" s="18"/>
      <c r="AG2" s="18"/>
      <c r="AH2" s="5"/>
    </row>
    <row r="3" spans="1:34" x14ac:dyDescent="0.2">
      <c r="A3" s="5" t="str">
        <f>'Macro &amp; Importar'!A3</f>
        <v xml:space="preserve">1110481823052       </v>
      </c>
      <c r="B3" s="5" t="str">
        <f>'Macro &amp; Importar'!B3</f>
        <v>BRUNO BEGA HARNIK</v>
      </c>
      <c r="C3" s="5">
        <f>'Macro &amp; Importar'!C3</f>
        <v>0</v>
      </c>
      <c r="D3" s="5">
        <f t="shared" ref="D3:D36" ca="1" si="0">RANDBETWEEN(1,7)</f>
        <v>6</v>
      </c>
      <c r="E3" s="20" t="s">
        <v>3</v>
      </c>
      <c r="F3" s="20" t="s">
        <v>3</v>
      </c>
      <c r="G3" s="20" t="s">
        <v>3</v>
      </c>
      <c r="H3" s="20" t="s">
        <v>3</v>
      </c>
      <c r="I3" s="20" t="s">
        <v>3</v>
      </c>
      <c r="J3" s="20" t="s">
        <v>3</v>
      </c>
      <c r="K3" s="20" t="s">
        <v>2</v>
      </c>
      <c r="L3" s="20" t="s">
        <v>2</v>
      </c>
      <c r="M3" s="20" t="s">
        <v>2</v>
      </c>
      <c r="N3" s="20" t="s">
        <v>2</v>
      </c>
      <c r="O3" s="20" t="s">
        <v>2</v>
      </c>
      <c r="P3" s="20" t="s">
        <v>2</v>
      </c>
      <c r="Q3" s="20" t="s">
        <v>2</v>
      </c>
      <c r="R3" s="20" t="s">
        <v>2</v>
      </c>
      <c r="S3" s="20" t="s">
        <v>2</v>
      </c>
      <c r="T3" s="20" t="s">
        <v>2</v>
      </c>
      <c r="U3" s="20" t="s">
        <v>2</v>
      </c>
      <c r="V3" s="20" t="s">
        <v>2</v>
      </c>
      <c r="W3" s="20" t="s">
        <v>2</v>
      </c>
      <c r="X3" s="21" t="s">
        <v>48</v>
      </c>
      <c r="Y3" s="2"/>
      <c r="Z3" s="2"/>
      <c r="AA3" s="5">
        <f t="shared" ref="AA3:AC34" ca="1" si="1">RANDBETWEEN(1,10)</f>
        <v>4</v>
      </c>
      <c r="AB3" s="5">
        <f t="shared" ref="AB3:AC17" ca="1" si="2">RANDBETWEEN(1,10)</f>
        <v>1</v>
      </c>
      <c r="AC3" s="5">
        <f t="shared" ca="1" si="2"/>
        <v>6</v>
      </c>
      <c r="AD3" s="16"/>
      <c r="AE3" s="16"/>
      <c r="AF3" s="18"/>
      <c r="AG3" s="18"/>
      <c r="AH3" s="5"/>
    </row>
    <row r="4" spans="1:34" x14ac:dyDescent="0.2">
      <c r="A4" s="5" t="str">
        <f>'Macro &amp; Importar'!A4</f>
        <v xml:space="preserve">1110481823016       </v>
      </c>
      <c r="B4" s="5" t="str">
        <f>'Macro &amp; Importar'!B4</f>
        <v>CESAR AUGUSTO SANTIAGO DA SILVA</v>
      </c>
      <c r="C4" s="5">
        <f>'Macro &amp; Importar'!C4</f>
        <v>0</v>
      </c>
      <c r="D4" s="5">
        <f t="shared" ca="1" si="0"/>
        <v>1</v>
      </c>
      <c r="E4" s="20" t="s">
        <v>3</v>
      </c>
      <c r="F4" s="20" t="s">
        <v>2</v>
      </c>
      <c r="G4" s="20" t="s">
        <v>3</v>
      </c>
      <c r="H4" s="20" t="s">
        <v>2</v>
      </c>
      <c r="I4" s="20" t="s">
        <v>2</v>
      </c>
      <c r="J4" s="20" t="s">
        <v>2</v>
      </c>
      <c r="K4" s="20" t="s">
        <v>2</v>
      </c>
      <c r="L4" s="20" t="s">
        <v>2</v>
      </c>
      <c r="M4" s="20" t="s">
        <v>2</v>
      </c>
      <c r="N4" s="20" t="s">
        <v>2</v>
      </c>
      <c r="O4" s="20" t="s">
        <v>2</v>
      </c>
      <c r="P4" s="21" t="s">
        <v>38</v>
      </c>
      <c r="Q4" s="21" t="s">
        <v>38</v>
      </c>
      <c r="R4" s="21" t="s">
        <v>38</v>
      </c>
      <c r="S4" s="21" t="s">
        <v>38</v>
      </c>
      <c r="T4" s="20" t="s">
        <v>2</v>
      </c>
      <c r="U4" s="20" t="s">
        <v>2</v>
      </c>
      <c r="V4" s="20" t="s">
        <v>2</v>
      </c>
      <c r="W4" s="20" t="s">
        <v>2</v>
      </c>
      <c r="X4" s="20" t="s">
        <v>2</v>
      </c>
      <c r="Y4" s="2"/>
      <c r="Z4" s="2"/>
      <c r="AA4" s="5">
        <f t="shared" ca="1" si="1"/>
        <v>9</v>
      </c>
      <c r="AB4" s="5">
        <f t="shared" ca="1" si="2"/>
        <v>6</v>
      </c>
      <c r="AC4" s="5">
        <f t="shared" ca="1" si="2"/>
        <v>10</v>
      </c>
      <c r="AD4" s="16"/>
      <c r="AE4" s="16"/>
      <c r="AF4" s="18"/>
      <c r="AG4" s="18"/>
      <c r="AH4" s="1"/>
    </row>
    <row r="5" spans="1:34" x14ac:dyDescent="0.2">
      <c r="A5" s="5" t="str">
        <f>'Macro &amp; Importar'!A5</f>
        <v xml:space="preserve">F1521217            </v>
      </c>
      <c r="B5" s="5" t="str">
        <f>'Macro &amp; Importar'!B5</f>
        <v>CLAYTON SILVA DE ASSIS</v>
      </c>
      <c r="C5" s="5">
        <f>'Macro &amp; Importar'!C5</f>
        <v>0</v>
      </c>
      <c r="D5" s="5">
        <f t="shared" ca="1" si="0"/>
        <v>2</v>
      </c>
      <c r="E5" s="21" t="s">
        <v>38</v>
      </c>
      <c r="F5" s="20" t="s">
        <v>2</v>
      </c>
      <c r="G5" s="20" t="s">
        <v>2</v>
      </c>
      <c r="H5" s="20" t="s">
        <v>2</v>
      </c>
      <c r="I5" s="20" t="s">
        <v>2</v>
      </c>
      <c r="J5" s="20" t="s">
        <v>2</v>
      </c>
      <c r="K5" s="20" t="s">
        <v>2</v>
      </c>
      <c r="L5" s="20" t="s">
        <v>2</v>
      </c>
      <c r="M5" s="20" t="s">
        <v>2</v>
      </c>
      <c r="N5" s="20" t="s">
        <v>2</v>
      </c>
      <c r="O5" s="20" t="s">
        <v>2</v>
      </c>
      <c r="P5" s="20" t="s">
        <v>2</v>
      </c>
      <c r="Q5" s="20" t="s">
        <v>2</v>
      </c>
      <c r="R5" s="20" t="s">
        <v>2</v>
      </c>
      <c r="S5" s="20" t="s">
        <v>2</v>
      </c>
      <c r="T5" s="20" t="s">
        <v>2</v>
      </c>
      <c r="U5" s="20" t="s">
        <v>2</v>
      </c>
      <c r="V5" s="20" t="s">
        <v>2</v>
      </c>
      <c r="W5" s="20" t="s">
        <v>2</v>
      </c>
      <c r="X5" s="20" t="s">
        <v>2</v>
      </c>
      <c r="Y5" s="2"/>
      <c r="Z5" s="2"/>
      <c r="AA5" s="5">
        <f t="shared" ca="1" si="1"/>
        <v>4</v>
      </c>
      <c r="AB5" s="5">
        <f t="shared" ca="1" si="2"/>
        <v>1</v>
      </c>
      <c r="AC5" s="5">
        <f t="shared" ca="1" si="2"/>
        <v>7</v>
      </c>
      <c r="AD5" s="16"/>
      <c r="AE5" s="16"/>
      <c r="AF5" s="18"/>
      <c r="AG5" s="18"/>
      <c r="AH5" s="2"/>
    </row>
    <row r="6" spans="1:34" x14ac:dyDescent="0.2">
      <c r="A6" s="5" t="str">
        <f>'Macro &amp; Importar'!A6</f>
        <v xml:space="preserve">1110481723031       </v>
      </c>
      <c r="B6" s="5" t="str">
        <f>'Macro &amp; Importar'!B6</f>
        <v>DANILO MOREIRA DA SILVA</v>
      </c>
      <c r="C6" s="5">
        <f>'Macro &amp; Importar'!C6</f>
        <v>0</v>
      </c>
      <c r="D6" s="5">
        <f t="shared" ca="1" si="0"/>
        <v>6</v>
      </c>
      <c r="E6" s="20" t="s">
        <v>2</v>
      </c>
      <c r="F6" s="20" t="s">
        <v>2</v>
      </c>
      <c r="G6" s="20" t="s">
        <v>2</v>
      </c>
      <c r="H6" s="20" t="s">
        <v>2</v>
      </c>
      <c r="I6" s="20" t="s">
        <v>2</v>
      </c>
      <c r="J6" s="20" t="s">
        <v>2</v>
      </c>
      <c r="K6" s="20" t="s">
        <v>2</v>
      </c>
      <c r="L6" s="20" t="s">
        <v>2</v>
      </c>
      <c r="M6" s="20" t="s">
        <v>2</v>
      </c>
      <c r="N6" s="20" t="s">
        <v>2</v>
      </c>
      <c r="O6" s="20" t="s">
        <v>2</v>
      </c>
      <c r="P6" s="20" t="s">
        <v>2</v>
      </c>
      <c r="Q6" s="20" t="s">
        <v>2</v>
      </c>
      <c r="R6" s="20" t="s">
        <v>2</v>
      </c>
      <c r="S6" s="20" t="s">
        <v>2</v>
      </c>
      <c r="T6" s="20" t="s">
        <v>2</v>
      </c>
      <c r="U6" s="20" t="s">
        <v>2</v>
      </c>
      <c r="V6" s="20" t="s">
        <v>2</v>
      </c>
      <c r="W6" s="20" t="s">
        <v>2</v>
      </c>
      <c r="X6" s="20" t="s">
        <v>2</v>
      </c>
      <c r="Y6" s="2"/>
      <c r="Z6" s="2"/>
      <c r="AA6" s="5">
        <f t="shared" ca="1" si="1"/>
        <v>3</v>
      </c>
      <c r="AB6" s="5">
        <f t="shared" ca="1" si="2"/>
        <v>3</v>
      </c>
      <c r="AC6" s="5">
        <f t="shared" ca="1" si="2"/>
        <v>9</v>
      </c>
      <c r="AD6" s="16"/>
      <c r="AE6" s="16"/>
      <c r="AF6" s="18"/>
      <c r="AG6" s="18"/>
      <c r="AH6" s="5"/>
    </row>
    <row r="7" spans="1:34" x14ac:dyDescent="0.2">
      <c r="A7" s="5" t="str">
        <f>'Macro &amp; Importar'!A7</f>
        <v xml:space="preserve">1110481823024       </v>
      </c>
      <c r="B7" s="5" t="str">
        <f>'Macro &amp; Importar'!B7</f>
        <v>DANILO PEREIRA SILVA</v>
      </c>
      <c r="C7" s="5">
        <f>'Macro &amp; Importar'!C7</f>
        <v>0</v>
      </c>
      <c r="D7" s="5">
        <f t="shared" ca="1" si="0"/>
        <v>6</v>
      </c>
      <c r="E7" s="20" t="s">
        <v>2</v>
      </c>
      <c r="F7" s="20" t="s">
        <v>2</v>
      </c>
      <c r="G7" s="20" t="s">
        <v>2</v>
      </c>
      <c r="H7" s="20" t="s">
        <v>2</v>
      </c>
      <c r="I7" s="20" t="s">
        <v>2</v>
      </c>
      <c r="J7" s="20" t="s">
        <v>2</v>
      </c>
      <c r="K7" s="20" t="s">
        <v>2</v>
      </c>
      <c r="L7" s="20" t="s">
        <v>2</v>
      </c>
      <c r="M7" s="20" t="s">
        <v>2</v>
      </c>
      <c r="N7" s="20" t="s">
        <v>2</v>
      </c>
      <c r="O7" s="20" t="s">
        <v>2</v>
      </c>
      <c r="P7" s="20" t="s">
        <v>2</v>
      </c>
      <c r="Q7" s="20" t="s">
        <v>2</v>
      </c>
      <c r="R7" s="20" t="s">
        <v>2</v>
      </c>
      <c r="S7" s="20" t="s">
        <v>2</v>
      </c>
      <c r="T7" s="20" t="s">
        <v>2</v>
      </c>
      <c r="U7" s="20" t="s">
        <v>2</v>
      </c>
      <c r="V7" s="20" t="s">
        <v>2</v>
      </c>
      <c r="W7" s="20" t="s">
        <v>2</v>
      </c>
      <c r="X7" s="20" t="s">
        <v>2</v>
      </c>
      <c r="Y7" s="2"/>
      <c r="Z7" s="2"/>
      <c r="AA7" s="5">
        <f t="shared" ca="1" si="1"/>
        <v>1</v>
      </c>
      <c r="AB7" s="5">
        <f t="shared" ca="1" si="2"/>
        <v>3</v>
      </c>
      <c r="AC7" s="5">
        <f t="shared" ca="1" si="2"/>
        <v>3</v>
      </c>
      <c r="AD7" s="16"/>
      <c r="AE7" s="16"/>
      <c r="AF7" s="18"/>
      <c r="AG7" s="18"/>
      <c r="AH7" s="2"/>
    </row>
    <row r="8" spans="1:34" x14ac:dyDescent="0.2">
      <c r="A8" s="5" t="str">
        <f>'Macro &amp; Importar'!A8</f>
        <v xml:space="preserve">F1610449            </v>
      </c>
      <c r="B8" s="5" t="str">
        <f>'Macro &amp; Importar'!B8</f>
        <v>DENNIS ALLOTA NASCIMENTO</v>
      </c>
      <c r="C8" s="5">
        <f>'Macro &amp; Importar'!C8</f>
        <v>0</v>
      </c>
      <c r="D8" s="5">
        <f t="shared" ca="1" si="0"/>
        <v>3</v>
      </c>
      <c r="E8" s="20" t="s">
        <v>2</v>
      </c>
      <c r="F8" s="20" t="s">
        <v>2</v>
      </c>
      <c r="G8" s="20" t="s">
        <v>2</v>
      </c>
      <c r="H8" s="20" t="s">
        <v>2</v>
      </c>
      <c r="I8" s="20" t="s">
        <v>2</v>
      </c>
      <c r="J8" s="20" t="s">
        <v>2</v>
      </c>
      <c r="K8" s="20" t="s">
        <v>2</v>
      </c>
      <c r="L8" s="20" t="s">
        <v>2</v>
      </c>
      <c r="M8" s="20" t="s">
        <v>2</v>
      </c>
      <c r="N8" s="20" t="s">
        <v>2</v>
      </c>
      <c r="O8" s="20" t="s">
        <v>2</v>
      </c>
      <c r="P8" s="20" t="s">
        <v>2</v>
      </c>
      <c r="Q8" s="20" t="s">
        <v>2</v>
      </c>
      <c r="R8" s="20" t="s">
        <v>2</v>
      </c>
      <c r="S8" s="20" t="s">
        <v>2</v>
      </c>
      <c r="T8" s="20" t="s">
        <v>2</v>
      </c>
      <c r="U8" s="20" t="s">
        <v>2</v>
      </c>
      <c r="V8" s="20" t="s">
        <v>2</v>
      </c>
      <c r="W8" s="20" t="s">
        <v>2</v>
      </c>
      <c r="X8" s="20" t="s">
        <v>2</v>
      </c>
      <c r="Y8" s="2"/>
      <c r="Z8" s="2"/>
      <c r="AA8" s="5">
        <f t="shared" ca="1" si="1"/>
        <v>8</v>
      </c>
      <c r="AB8" s="5">
        <f t="shared" ca="1" si="2"/>
        <v>6</v>
      </c>
      <c r="AC8" s="5">
        <f t="shared" ca="1" si="2"/>
        <v>2</v>
      </c>
      <c r="AD8" s="16"/>
      <c r="AE8" s="16"/>
      <c r="AF8" s="18"/>
      <c r="AG8" s="18"/>
      <c r="AH8" s="5"/>
    </row>
    <row r="9" spans="1:34" x14ac:dyDescent="0.2">
      <c r="A9" s="5" t="str">
        <f>'Macro &amp; Importar'!A9</f>
        <v xml:space="preserve">1110481823002       </v>
      </c>
      <c r="B9" s="5" t="str">
        <f>'Macro &amp; Importar'!B9</f>
        <v>DIEGO TELHADA DE OLIVEIRA</v>
      </c>
      <c r="C9" s="5">
        <f>'Macro &amp; Importar'!C9</f>
        <v>0</v>
      </c>
      <c r="D9" s="5">
        <f t="shared" ca="1" si="0"/>
        <v>1</v>
      </c>
      <c r="E9" s="20" t="s">
        <v>2</v>
      </c>
      <c r="F9" s="20" t="s">
        <v>2</v>
      </c>
      <c r="G9" s="20" t="s">
        <v>2</v>
      </c>
      <c r="H9" s="20" t="s">
        <v>2</v>
      </c>
      <c r="I9" s="20" t="s">
        <v>2</v>
      </c>
      <c r="J9" s="20" t="s">
        <v>2</v>
      </c>
      <c r="K9" s="20" t="s">
        <v>2</v>
      </c>
      <c r="L9" s="20" t="s">
        <v>2</v>
      </c>
      <c r="M9" s="20" t="s">
        <v>2</v>
      </c>
      <c r="N9" s="20" t="s">
        <v>2</v>
      </c>
      <c r="O9" s="20" t="s">
        <v>2</v>
      </c>
      <c r="P9" s="20" t="s">
        <v>2</v>
      </c>
      <c r="Q9" s="20" t="s">
        <v>2</v>
      </c>
      <c r="R9" s="20" t="s">
        <v>2</v>
      </c>
      <c r="S9" s="20" t="s">
        <v>2</v>
      </c>
      <c r="T9" s="20" t="s">
        <v>2</v>
      </c>
      <c r="U9" s="20" t="s">
        <v>2</v>
      </c>
      <c r="V9" s="20" t="s">
        <v>2</v>
      </c>
      <c r="W9" s="20" t="s">
        <v>2</v>
      </c>
      <c r="X9" s="20" t="s">
        <v>2</v>
      </c>
      <c r="Y9" s="2"/>
      <c r="Z9" s="2"/>
      <c r="AA9" s="5">
        <f t="shared" ca="1" si="1"/>
        <v>9</v>
      </c>
      <c r="AB9" s="5">
        <f t="shared" ca="1" si="2"/>
        <v>4</v>
      </c>
      <c r="AC9" s="5">
        <f t="shared" ca="1" si="2"/>
        <v>4</v>
      </c>
      <c r="AD9" s="16"/>
      <c r="AE9" s="16"/>
      <c r="AF9" s="18"/>
      <c r="AG9" s="18"/>
      <c r="AH9" s="2"/>
    </row>
    <row r="10" spans="1:34" x14ac:dyDescent="0.2">
      <c r="A10" s="5" t="str">
        <f>'Macro &amp; Importar'!A10</f>
        <v xml:space="preserve">1110481813011       </v>
      </c>
      <c r="B10" s="5" t="str">
        <f>'Macro &amp; Importar'!B10</f>
        <v>EDUARDO MACIEL SANCHEZ</v>
      </c>
      <c r="C10" s="5">
        <f>'Macro &amp; Importar'!C10</f>
        <v>0</v>
      </c>
      <c r="D10" s="5">
        <f t="shared" ca="1" si="0"/>
        <v>3</v>
      </c>
      <c r="E10" s="20" t="s">
        <v>2</v>
      </c>
      <c r="F10" s="20" t="s">
        <v>2</v>
      </c>
      <c r="G10" s="20" t="s">
        <v>2</v>
      </c>
      <c r="H10" s="20" t="s">
        <v>2</v>
      </c>
      <c r="I10" s="20" t="s">
        <v>2</v>
      </c>
      <c r="J10" s="20" t="s">
        <v>2</v>
      </c>
      <c r="K10" s="20" t="s">
        <v>2</v>
      </c>
      <c r="L10" s="20" t="s">
        <v>2</v>
      </c>
      <c r="M10" s="20" t="s">
        <v>2</v>
      </c>
      <c r="N10" s="20" t="s">
        <v>2</v>
      </c>
      <c r="O10" s="20" t="s">
        <v>2</v>
      </c>
      <c r="P10" s="20" t="s">
        <v>2</v>
      </c>
      <c r="Q10" s="20" t="s">
        <v>2</v>
      </c>
      <c r="R10" s="20" t="s">
        <v>2</v>
      </c>
      <c r="S10" s="20" t="s">
        <v>2</v>
      </c>
      <c r="T10" s="20" t="s">
        <v>2</v>
      </c>
      <c r="U10" s="20" t="s">
        <v>2</v>
      </c>
      <c r="V10" s="20" t="s">
        <v>2</v>
      </c>
      <c r="W10" s="20" t="s">
        <v>2</v>
      </c>
      <c r="X10" s="20" t="s">
        <v>2</v>
      </c>
      <c r="Y10" s="2"/>
      <c r="Z10" s="2"/>
      <c r="AA10" s="5">
        <f t="shared" ca="1" si="1"/>
        <v>3</v>
      </c>
      <c r="AB10" s="5">
        <f t="shared" ca="1" si="2"/>
        <v>2</v>
      </c>
      <c r="AC10" s="5">
        <f t="shared" ca="1" si="2"/>
        <v>5</v>
      </c>
      <c r="AD10" s="16"/>
      <c r="AE10" s="16"/>
      <c r="AF10" s="18"/>
      <c r="AG10" s="18"/>
      <c r="AH10" s="5"/>
    </row>
    <row r="11" spans="1:34" x14ac:dyDescent="0.2">
      <c r="A11" s="5" t="str">
        <f>'Macro &amp; Importar'!A11</f>
        <v xml:space="preserve">1110481823035       </v>
      </c>
      <c r="B11" s="5" t="str">
        <f>'Macro &amp; Importar'!B11</f>
        <v>FELIPE DO COUTO FERREIRA</v>
      </c>
      <c r="C11" s="5">
        <f>'Macro &amp; Importar'!C11</f>
        <v>0</v>
      </c>
      <c r="D11" s="5">
        <f t="shared" ca="1" si="0"/>
        <v>1</v>
      </c>
      <c r="E11" s="20" t="s">
        <v>2</v>
      </c>
      <c r="F11" s="20" t="s">
        <v>2</v>
      </c>
      <c r="G11" s="20" t="s">
        <v>2</v>
      </c>
      <c r="H11" s="20" t="s">
        <v>2</v>
      </c>
      <c r="I11" s="20" t="s">
        <v>2</v>
      </c>
      <c r="J11" s="20" t="s">
        <v>2</v>
      </c>
      <c r="K11" s="20" t="s">
        <v>2</v>
      </c>
      <c r="L11" s="20" t="s">
        <v>2</v>
      </c>
      <c r="M11" s="20" t="s">
        <v>2</v>
      </c>
      <c r="N11" s="20" t="s">
        <v>2</v>
      </c>
      <c r="O11" s="20" t="s">
        <v>2</v>
      </c>
      <c r="P11" s="20" t="s">
        <v>2</v>
      </c>
      <c r="Q11" s="20" t="s">
        <v>2</v>
      </c>
      <c r="R11" s="20" t="s">
        <v>2</v>
      </c>
      <c r="S11" s="20" t="s">
        <v>2</v>
      </c>
      <c r="T11" s="20" t="s">
        <v>2</v>
      </c>
      <c r="U11" s="20" t="s">
        <v>2</v>
      </c>
      <c r="V11" s="20" t="s">
        <v>2</v>
      </c>
      <c r="W11" s="20" t="s">
        <v>2</v>
      </c>
      <c r="X11" s="20" t="s">
        <v>2</v>
      </c>
      <c r="Y11" s="2"/>
      <c r="Z11" s="2"/>
      <c r="AA11" s="5">
        <f t="shared" ca="1" si="1"/>
        <v>9</v>
      </c>
      <c r="AB11" s="5">
        <f t="shared" ca="1" si="2"/>
        <v>9</v>
      </c>
      <c r="AC11" s="5">
        <f t="shared" ca="1" si="2"/>
        <v>8</v>
      </c>
      <c r="AD11" s="16"/>
      <c r="AE11" s="16"/>
      <c r="AF11" s="18"/>
      <c r="AG11" s="18"/>
      <c r="AH11" s="2"/>
    </row>
    <row r="12" spans="1:34" x14ac:dyDescent="0.2">
      <c r="A12" s="5" t="str">
        <f>'Macro &amp; Importar'!A12</f>
        <v xml:space="preserve">1110481823025       </v>
      </c>
      <c r="B12" s="5" t="str">
        <f>'Macro &amp; Importar'!B12</f>
        <v>FELIPE SARDINHA DA SILVA</v>
      </c>
      <c r="C12" s="5">
        <f>'Macro &amp; Importar'!C12</f>
        <v>0</v>
      </c>
      <c r="D12" s="5">
        <f t="shared" ca="1" si="0"/>
        <v>7</v>
      </c>
      <c r="E12" s="20" t="s">
        <v>2</v>
      </c>
      <c r="F12" s="20" t="s">
        <v>2</v>
      </c>
      <c r="G12" s="20" t="s">
        <v>2</v>
      </c>
      <c r="H12" s="20" t="s">
        <v>2</v>
      </c>
      <c r="I12" s="20" t="s">
        <v>2</v>
      </c>
      <c r="J12" s="20" t="s">
        <v>2</v>
      </c>
      <c r="K12" s="20" t="s">
        <v>2</v>
      </c>
      <c r="L12" s="20" t="s">
        <v>2</v>
      </c>
      <c r="M12" s="20" t="s">
        <v>2</v>
      </c>
      <c r="N12" s="20" t="s">
        <v>2</v>
      </c>
      <c r="O12" s="20" t="s">
        <v>2</v>
      </c>
      <c r="P12" s="20" t="s">
        <v>2</v>
      </c>
      <c r="Q12" s="20" t="s">
        <v>2</v>
      </c>
      <c r="R12" s="20" t="s">
        <v>2</v>
      </c>
      <c r="S12" s="20" t="s">
        <v>2</v>
      </c>
      <c r="T12" s="20" t="s">
        <v>2</v>
      </c>
      <c r="U12" s="20" t="s">
        <v>2</v>
      </c>
      <c r="V12" s="20" t="s">
        <v>2</v>
      </c>
      <c r="W12" s="20" t="s">
        <v>2</v>
      </c>
      <c r="X12" s="20" t="s">
        <v>2</v>
      </c>
      <c r="Y12" s="2"/>
      <c r="Z12" s="2"/>
      <c r="AA12" s="5">
        <f t="shared" ca="1" si="1"/>
        <v>8</v>
      </c>
      <c r="AB12" s="5">
        <f t="shared" ca="1" si="2"/>
        <v>8</v>
      </c>
      <c r="AC12" s="5">
        <f t="shared" ca="1" si="2"/>
        <v>4</v>
      </c>
      <c r="AD12" s="16"/>
      <c r="AE12" s="16"/>
      <c r="AF12" s="18"/>
      <c r="AG12" s="18"/>
      <c r="AH12" s="5"/>
    </row>
    <row r="13" spans="1:34" x14ac:dyDescent="0.2">
      <c r="A13" s="5" t="str">
        <f>'Macro &amp; Importar'!A13</f>
        <v xml:space="preserve">1110481823022       </v>
      </c>
      <c r="B13" s="5" t="str">
        <f>'Macro &amp; Importar'!B13</f>
        <v>FERNANDA PINHEIRO REIS</v>
      </c>
      <c r="C13" s="5">
        <f>'Macro &amp; Importar'!C13</f>
        <v>0</v>
      </c>
      <c r="D13" s="5">
        <f t="shared" ca="1" si="0"/>
        <v>6</v>
      </c>
      <c r="E13" s="20" t="s">
        <v>2</v>
      </c>
      <c r="F13" s="20" t="s">
        <v>2</v>
      </c>
      <c r="G13" s="20" t="s">
        <v>2</v>
      </c>
      <c r="H13" s="20" t="s">
        <v>2</v>
      </c>
      <c r="I13" s="20" t="s">
        <v>2</v>
      </c>
      <c r="J13" s="20" t="s">
        <v>2</v>
      </c>
      <c r="K13" s="20" t="s">
        <v>2</v>
      </c>
      <c r="L13" s="20" t="s">
        <v>2</v>
      </c>
      <c r="M13" s="20" t="s">
        <v>2</v>
      </c>
      <c r="N13" s="20" t="s">
        <v>2</v>
      </c>
      <c r="O13" s="20" t="s">
        <v>2</v>
      </c>
      <c r="P13" s="20" t="s">
        <v>2</v>
      </c>
      <c r="Q13" s="20" t="s">
        <v>2</v>
      </c>
      <c r="R13" s="20" t="s">
        <v>2</v>
      </c>
      <c r="S13" s="20" t="s">
        <v>2</v>
      </c>
      <c r="T13" s="20" t="s">
        <v>2</v>
      </c>
      <c r="U13" s="20" t="s">
        <v>2</v>
      </c>
      <c r="V13" s="20" t="s">
        <v>2</v>
      </c>
      <c r="W13" s="20" t="s">
        <v>2</v>
      </c>
      <c r="X13" s="20" t="s">
        <v>2</v>
      </c>
      <c r="Y13" s="2"/>
      <c r="Z13" s="2"/>
      <c r="AA13" s="5">
        <f t="shared" ca="1" si="1"/>
        <v>1</v>
      </c>
      <c r="AB13" s="5">
        <f t="shared" ca="1" si="2"/>
        <v>7</v>
      </c>
      <c r="AC13" s="5">
        <f t="shared" ca="1" si="2"/>
        <v>5</v>
      </c>
      <c r="AD13" s="16"/>
      <c r="AE13" s="16"/>
      <c r="AF13" s="18"/>
      <c r="AG13" s="18"/>
      <c r="AH13" s="2"/>
    </row>
    <row r="14" spans="1:34" x14ac:dyDescent="0.2">
      <c r="A14" s="5" t="str">
        <f>'Macro &amp; Importar'!A14</f>
        <v xml:space="preserve">1110481813015       </v>
      </c>
      <c r="B14" s="5" t="str">
        <f>'Macro &amp; Importar'!B14</f>
        <v xml:space="preserve">GABRIEL BARAO ANTONIO                             </v>
      </c>
      <c r="C14" s="5">
        <f>'Macro &amp; Importar'!C14</f>
        <v>0</v>
      </c>
      <c r="D14" s="5">
        <f t="shared" ca="1" si="0"/>
        <v>5</v>
      </c>
      <c r="E14" s="20" t="s">
        <v>2</v>
      </c>
      <c r="F14" s="20" t="s">
        <v>2</v>
      </c>
      <c r="G14" s="20" t="s">
        <v>2</v>
      </c>
      <c r="H14" s="20" t="s">
        <v>2</v>
      </c>
      <c r="I14" s="20" t="s">
        <v>2</v>
      </c>
      <c r="J14" s="20" t="s">
        <v>2</v>
      </c>
      <c r="K14" s="20" t="s">
        <v>2</v>
      </c>
      <c r="L14" s="20" t="s">
        <v>2</v>
      </c>
      <c r="M14" s="20" t="s">
        <v>2</v>
      </c>
      <c r="N14" s="20" t="s">
        <v>2</v>
      </c>
      <c r="O14" s="20" t="s">
        <v>2</v>
      </c>
      <c r="P14" s="20" t="s">
        <v>2</v>
      </c>
      <c r="Q14" s="20" t="s">
        <v>2</v>
      </c>
      <c r="R14" s="20" t="s">
        <v>2</v>
      </c>
      <c r="S14" s="20" t="s">
        <v>2</v>
      </c>
      <c r="T14" s="20" t="s">
        <v>2</v>
      </c>
      <c r="U14" s="20" t="s">
        <v>2</v>
      </c>
      <c r="V14" s="20" t="s">
        <v>2</v>
      </c>
      <c r="W14" s="20" t="s">
        <v>2</v>
      </c>
      <c r="X14" s="20" t="s">
        <v>2</v>
      </c>
      <c r="Y14" s="2"/>
      <c r="Z14" s="2"/>
      <c r="AA14" s="5">
        <f t="shared" ca="1" si="1"/>
        <v>9</v>
      </c>
      <c r="AB14" s="5">
        <f t="shared" ca="1" si="2"/>
        <v>8</v>
      </c>
      <c r="AC14" s="5">
        <f t="shared" ca="1" si="2"/>
        <v>3</v>
      </c>
      <c r="AD14" s="16"/>
      <c r="AE14" s="16"/>
      <c r="AF14" s="18"/>
      <c r="AG14" s="18"/>
      <c r="AH14" s="5"/>
    </row>
    <row r="15" spans="1:34" x14ac:dyDescent="0.2">
      <c r="A15" s="5" t="str">
        <f>'Macro &amp; Importar'!A15</f>
        <v xml:space="preserve">1110481823013       </v>
      </c>
      <c r="B15" s="5" t="str">
        <f>'Macro &amp; Importar'!B15</f>
        <v>GABRIEL LOPES FERREIRA RAMOS</v>
      </c>
      <c r="C15" s="5">
        <f>'Macro &amp; Importar'!C15</f>
        <v>0</v>
      </c>
      <c r="D15" s="5">
        <f t="shared" ca="1" si="0"/>
        <v>3</v>
      </c>
      <c r="E15" s="20" t="s">
        <v>2</v>
      </c>
      <c r="F15" s="20" t="s">
        <v>2</v>
      </c>
      <c r="G15" s="20" t="s">
        <v>2</v>
      </c>
      <c r="H15" s="20" t="s">
        <v>2</v>
      </c>
      <c r="I15" s="20" t="s">
        <v>2</v>
      </c>
      <c r="J15" s="20" t="s">
        <v>2</v>
      </c>
      <c r="K15" s="20" t="s">
        <v>2</v>
      </c>
      <c r="L15" s="20" t="s">
        <v>2</v>
      </c>
      <c r="M15" s="20" t="s">
        <v>2</v>
      </c>
      <c r="N15" s="20" t="s">
        <v>2</v>
      </c>
      <c r="O15" s="20" t="s">
        <v>2</v>
      </c>
      <c r="P15" s="20" t="s">
        <v>2</v>
      </c>
      <c r="Q15" s="20" t="s">
        <v>2</v>
      </c>
      <c r="R15" s="20" t="s">
        <v>2</v>
      </c>
      <c r="S15" s="20" t="s">
        <v>2</v>
      </c>
      <c r="T15" s="20" t="s">
        <v>2</v>
      </c>
      <c r="U15" s="20" t="s">
        <v>2</v>
      </c>
      <c r="V15" s="20" t="s">
        <v>2</v>
      </c>
      <c r="W15" s="20" t="s">
        <v>2</v>
      </c>
      <c r="X15" s="20" t="s">
        <v>2</v>
      </c>
      <c r="Y15" s="2"/>
      <c r="Z15" s="2"/>
      <c r="AA15" s="5">
        <f t="shared" ca="1" si="1"/>
        <v>9</v>
      </c>
      <c r="AB15" s="5">
        <f t="shared" ca="1" si="2"/>
        <v>2</v>
      </c>
      <c r="AC15" s="5">
        <f t="shared" ca="1" si="2"/>
        <v>8</v>
      </c>
      <c r="AD15" s="16"/>
      <c r="AE15" s="16"/>
      <c r="AF15" s="18"/>
      <c r="AG15" s="18"/>
      <c r="AH15" s="5"/>
    </row>
    <row r="16" spans="1:34" x14ac:dyDescent="0.2">
      <c r="A16" s="5" t="str">
        <f>'Macro &amp; Importar'!A16</f>
        <v xml:space="preserve">1110481823017       </v>
      </c>
      <c r="B16" s="5" t="str">
        <f>'Macro &amp; Importar'!B16</f>
        <v>GLAUBER FELISBINO COSTA</v>
      </c>
      <c r="C16" s="5">
        <f>'Macro &amp; Importar'!C16</f>
        <v>0</v>
      </c>
      <c r="D16" s="5">
        <f t="shared" ca="1" si="0"/>
        <v>7</v>
      </c>
      <c r="E16" s="20" t="s">
        <v>2</v>
      </c>
      <c r="F16" s="20" t="s">
        <v>2</v>
      </c>
      <c r="G16" s="20" t="s">
        <v>2</v>
      </c>
      <c r="H16" s="20" t="s">
        <v>2</v>
      </c>
      <c r="I16" s="20" t="s">
        <v>2</v>
      </c>
      <c r="J16" s="20" t="s">
        <v>2</v>
      </c>
      <c r="K16" s="20" t="s">
        <v>2</v>
      </c>
      <c r="L16" s="20" t="s">
        <v>2</v>
      </c>
      <c r="M16" s="20" t="s">
        <v>2</v>
      </c>
      <c r="N16" s="20" t="s">
        <v>2</v>
      </c>
      <c r="O16" s="20" t="s">
        <v>2</v>
      </c>
      <c r="P16" s="20" t="s">
        <v>2</v>
      </c>
      <c r="Q16" s="20" t="s">
        <v>2</v>
      </c>
      <c r="R16" s="20" t="s">
        <v>2</v>
      </c>
      <c r="S16" s="20" t="s">
        <v>2</v>
      </c>
      <c r="T16" s="20" t="s">
        <v>2</v>
      </c>
      <c r="U16" s="20" t="s">
        <v>2</v>
      </c>
      <c r="V16" s="20" t="s">
        <v>2</v>
      </c>
      <c r="W16" s="20" t="s">
        <v>2</v>
      </c>
      <c r="X16" s="20" t="s">
        <v>2</v>
      </c>
      <c r="Y16" s="2"/>
      <c r="Z16" s="2"/>
      <c r="AA16" s="5">
        <f t="shared" ca="1" si="1"/>
        <v>5</v>
      </c>
      <c r="AB16" s="5">
        <f t="shared" ca="1" si="2"/>
        <v>8</v>
      </c>
      <c r="AC16" s="5">
        <f t="shared" ca="1" si="2"/>
        <v>8</v>
      </c>
      <c r="AD16" s="16"/>
      <c r="AE16" s="16"/>
      <c r="AF16" s="18"/>
      <c r="AG16" s="18"/>
      <c r="AH16" s="5"/>
    </row>
    <row r="17" spans="1:34" x14ac:dyDescent="0.2">
      <c r="A17" s="5" t="str">
        <f>'Macro &amp; Importar'!A17</f>
        <v xml:space="preserve">1110481813027       </v>
      </c>
      <c r="B17" s="5" t="str">
        <f>'Macro &amp; Importar'!B17</f>
        <v>GUILHERME MACEDO CANDIDO</v>
      </c>
      <c r="C17" s="5">
        <f>'Macro &amp; Importar'!C17</f>
        <v>0</v>
      </c>
      <c r="D17" s="5">
        <f t="shared" ca="1" si="0"/>
        <v>2</v>
      </c>
      <c r="E17" s="20" t="s">
        <v>2</v>
      </c>
      <c r="F17" s="20" t="s">
        <v>2</v>
      </c>
      <c r="G17" s="20" t="s">
        <v>2</v>
      </c>
      <c r="H17" s="20" t="s">
        <v>2</v>
      </c>
      <c r="I17" s="20" t="s">
        <v>2</v>
      </c>
      <c r="J17" s="20" t="s">
        <v>2</v>
      </c>
      <c r="K17" s="20" t="s">
        <v>2</v>
      </c>
      <c r="L17" s="20" t="s">
        <v>2</v>
      </c>
      <c r="M17" s="20" t="s">
        <v>2</v>
      </c>
      <c r="N17" s="20" t="s">
        <v>2</v>
      </c>
      <c r="O17" s="20" t="s">
        <v>2</v>
      </c>
      <c r="P17" s="20" t="s">
        <v>2</v>
      </c>
      <c r="Q17" s="20" t="s">
        <v>2</v>
      </c>
      <c r="R17" s="20" t="s">
        <v>2</v>
      </c>
      <c r="S17" s="20" t="s">
        <v>2</v>
      </c>
      <c r="T17" s="20" t="s">
        <v>2</v>
      </c>
      <c r="U17" s="20" t="s">
        <v>2</v>
      </c>
      <c r="V17" s="20" t="s">
        <v>2</v>
      </c>
      <c r="W17" s="20" t="s">
        <v>2</v>
      </c>
      <c r="X17" s="20" t="s">
        <v>2</v>
      </c>
      <c r="Y17" s="2"/>
      <c r="Z17" s="2"/>
      <c r="AA17" s="5">
        <f t="shared" ca="1" si="1"/>
        <v>3</v>
      </c>
      <c r="AB17" s="5">
        <f t="shared" ca="1" si="2"/>
        <v>8</v>
      </c>
      <c r="AC17" s="5">
        <f t="shared" ca="1" si="2"/>
        <v>8</v>
      </c>
      <c r="AD17" s="16"/>
      <c r="AE17" s="16"/>
      <c r="AF17" s="18"/>
      <c r="AG17" s="18"/>
      <c r="AH17" s="5"/>
    </row>
    <row r="18" spans="1:34" x14ac:dyDescent="0.2">
      <c r="A18" s="5" t="str">
        <f>'Macro &amp; Importar'!A18</f>
        <v xml:space="preserve">1110481823036       </v>
      </c>
      <c r="B18" s="5" t="str">
        <f>'Macro &amp; Importar'!B18</f>
        <v>GUSTAVO FREITAS MOTTA</v>
      </c>
      <c r="C18" s="5">
        <f>'Macro &amp; Importar'!C18</f>
        <v>0</v>
      </c>
      <c r="D18" s="5">
        <f t="shared" ca="1" si="0"/>
        <v>3</v>
      </c>
      <c r="E18" s="20" t="s">
        <v>2</v>
      </c>
      <c r="F18" s="20" t="s">
        <v>2</v>
      </c>
      <c r="G18" s="20" t="s">
        <v>2</v>
      </c>
      <c r="H18" s="20" t="s">
        <v>2</v>
      </c>
      <c r="I18" s="20" t="s">
        <v>2</v>
      </c>
      <c r="J18" s="20" t="s">
        <v>2</v>
      </c>
      <c r="K18" s="20" t="s">
        <v>2</v>
      </c>
      <c r="L18" s="20" t="s">
        <v>2</v>
      </c>
      <c r="M18" s="20" t="s">
        <v>2</v>
      </c>
      <c r="N18" s="20" t="s">
        <v>2</v>
      </c>
      <c r="O18" s="20" t="s">
        <v>2</v>
      </c>
      <c r="P18" s="20" t="s">
        <v>2</v>
      </c>
      <c r="Q18" s="20" t="s">
        <v>2</v>
      </c>
      <c r="R18" s="21" t="s">
        <v>2</v>
      </c>
      <c r="S18" s="20" t="s">
        <v>2</v>
      </c>
      <c r="T18" s="20" t="s">
        <v>2</v>
      </c>
      <c r="U18" s="20" t="s">
        <v>2</v>
      </c>
      <c r="V18" s="20" t="s">
        <v>2</v>
      </c>
      <c r="W18" s="20" t="s">
        <v>2</v>
      </c>
      <c r="X18" s="20" t="s">
        <v>2</v>
      </c>
      <c r="Y18" s="2"/>
      <c r="Z18" s="2"/>
      <c r="AA18" s="5">
        <f t="shared" ca="1" si="1"/>
        <v>9</v>
      </c>
      <c r="AB18" s="5">
        <f t="shared" ca="1" si="1"/>
        <v>8</v>
      </c>
      <c r="AC18" s="5">
        <f t="shared" ca="1" si="1"/>
        <v>1</v>
      </c>
      <c r="AD18" s="16"/>
      <c r="AE18" s="16"/>
      <c r="AF18" s="18"/>
      <c r="AG18" s="18"/>
      <c r="AH18" s="5"/>
    </row>
    <row r="19" spans="1:34" x14ac:dyDescent="0.2">
      <c r="A19" s="5" t="str">
        <f>'Macro &amp; Importar'!A19</f>
        <v xml:space="preserve">1110481823050       </v>
      </c>
      <c r="B19" s="5" t="str">
        <f>'Macro &amp; Importar'!B19</f>
        <v>GUSTAVO RABELO TELES</v>
      </c>
      <c r="C19" s="5">
        <f>'Macro &amp; Importar'!C19</f>
        <v>0</v>
      </c>
      <c r="D19" s="5">
        <f t="shared" ca="1" si="0"/>
        <v>5</v>
      </c>
      <c r="E19" s="20" t="s">
        <v>2</v>
      </c>
      <c r="F19" s="20" t="s">
        <v>2</v>
      </c>
      <c r="G19" s="20" t="s">
        <v>2</v>
      </c>
      <c r="H19" s="20" t="s">
        <v>2</v>
      </c>
      <c r="I19" s="20" t="s">
        <v>2</v>
      </c>
      <c r="J19" s="20" t="s">
        <v>2</v>
      </c>
      <c r="K19" s="20" t="s">
        <v>2</v>
      </c>
      <c r="L19" s="20" t="s">
        <v>2</v>
      </c>
      <c r="M19" s="20" t="s">
        <v>2</v>
      </c>
      <c r="N19" s="20" t="s">
        <v>2</v>
      </c>
      <c r="O19" s="20" t="s">
        <v>2</v>
      </c>
      <c r="P19" s="20" t="s">
        <v>2</v>
      </c>
      <c r="Q19" s="20" t="s">
        <v>2</v>
      </c>
      <c r="R19" s="20" t="s">
        <v>2</v>
      </c>
      <c r="S19" s="20" t="s">
        <v>2</v>
      </c>
      <c r="T19" s="20" t="s">
        <v>2</v>
      </c>
      <c r="U19" s="20" t="s">
        <v>2</v>
      </c>
      <c r="V19" s="20" t="s">
        <v>2</v>
      </c>
      <c r="W19" s="20" t="s">
        <v>2</v>
      </c>
      <c r="X19" s="20" t="s">
        <v>2</v>
      </c>
      <c r="Y19" s="2"/>
      <c r="Z19" s="2"/>
      <c r="AA19" s="5">
        <f t="shared" ca="1" si="1"/>
        <v>1</v>
      </c>
      <c r="AB19" s="5">
        <f t="shared" ca="1" si="1"/>
        <v>9</v>
      </c>
      <c r="AC19" s="5">
        <f t="shared" ca="1" si="1"/>
        <v>5</v>
      </c>
      <c r="AD19" s="16"/>
      <c r="AE19" s="16"/>
      <c r="AF19" s="18"/>
      <c r="AG19" s="18"/>
      <c r="AH19" s="5"/>
    </row>
    <row r="20" spans="1:34" x14ac:dyDescent="0.2">
      <c r="A20" s="5" t="str">
        <f>'Macro &amp; Importar'!A20</f>
        <v xml:space="preserve">1110481823027       </v>
      </c>
      <c r="B20" s="5" t="str">
        <f>'Macro &amp; Importar'!B20</f>
        <v>HENRIQUE AMORIM</v>
      </c>
      <c r="C20" s="5">
        <f>'Macro &amp; Importar'!C20</f>
        <v>0</v>
      </c>
      <c r="D20" s="5">
        <f t="shared" ca="1" si="0"/>
        <v>7</v>
      </c>
      <c r="E20" s="20" t="s">
        <v>2</v>
      </c>
      <c r="F20" s="20" t="s">
        <v>2</v>
      </c>
      <c r="G20" s="20" t="s">
        <v>2</v>
      </c>
      <c r="H20" s="20" t="s">
        <v>2</v>
      </c>
      <c r="I20" s="20" t="s">
        <v>2</v>
      </c>
      <c r="J20" s="20" t="s">
        <v>2</v>
      </c>
      <c r="K20" s="20" t="s">
        <v>2</v>
      </c>
      <c r="L20" s="20" t="s">
        <v>2</v>
      </c>
      <c r="M20" s="20" t="s">
        <v>2</v>
      </c>
      <c r="N20" s="20" t="s">
        <v>2</v>
      </c>
      <c r="O20" s="20" t="s">
        <v>2</v>
      </c>
      <c r="P20" s="20" t="s">
        <v>2</v>
      </c>
      <c r="Q20" s="20" t="s">
        <v>2</v>
      </c>
      <c r="R20" s="20" t="s">
        <v>2</v>
      </c>
      <c r="S20" s="20" t="s">
        <v>2</v>
      </c>
      <c r="T20" s="20" t="s">
        <v>2</v>
      </c>
      <c r="U20" s="20" t="s">
        <v>2</v>
      </c>
      <c r="V20" s="20" t="s">
        <v>2</v>
      </c>
      <c r="W20" s="20" t="s">
        <v>2</v>
      </c>
      <c r="X20" s="20" t="s">
        <v>2</v>
      </c>
      <c r="Y20" s="2"/>
      <c r="Z20" s="2"/>
      <c r="AA20" s="5">
        <f t="shared" ca="1" si="1"/>
        <v>3</v>
      </c>
      <c r="AB20" s="5">
        <f t="shared" ca="1" si="1"/>
        <v>6</v>
      </c>
      <c r="AC20" s="5">
        <f t="shared" ca="1" si="1"/>
        <v>10</v>
      </c>
      <c r="AD20" s="16"/>
      <c r="AE20" s="16"/>
      <c r="AF20" s="18"/>
      <c r="AG20" s="18"/>
      <c r="AH20" s="5"/>
    </row>
    <row r="21" spans="1:34" x14ac:dyDescent="0.2">
      <c r="A21" s="5" t="str">
        <f>'Macro &amp; Importar'!A21</f>
        <v xml:space="preserve">1110481823015       </v>
      </c>
      <c r="B21" s="5" t="str">
        <f>'Macro &amp; Importar'!B21</f>
        <v>HENRIQUE LIMA DE OLIVEIRA</v>
      </c>
      <c r="C21" s="5">
        <f>'Macro &amp; Importar'!C21</f>
        <v>0</v>
      </c>
      <c r="D21" s="5">
        <f t="shared" ca="1" si="0"/>
        <v>2</v>
      </c>
      <c r="E21" s="20" t="s">
        <v>2</v>
      </c>
      <c r="F21" s="20" t="s">
        <v>2</v>
      </c>
      <c r="G21" s="20" t="s">
        <v>2</v>
      </c>
      <c r="H21" s="20" t="s">
        <v>2</v>
      </c>
      <c r="I21" s="20" t="s">
        <v>2</v>
      </c>
      <c r="J21" s="20" t="s">
        <v>2</v>
      </c>
      <c r="K21" s="20" t="s">
        <v>2</v>
      </c>
      <c r="L21" s="20" t="s">
        <v>2</v>
      </c>
      <c r="M21" s="20" t="s">
        <v>2</v>
      </c>
      <c r="N21" s="20" t="s">
        <v>2</v>
      </c>
      <c r="O21" s="20" t="s">
        <v>2</v>
      </c>
      <c r="P21" s="20" t="s">
        <v>2</v>
      </c>
      <c r="Q21" s="20" t="s">
        <v>2</v>
      </c>
      <c r="R21" s="20" t="s">
        <v>2</v>
      </c>
      <c r="S21" s="20" t="s">
        <v>2</v>
      </c>
      <c r="T21" s="20" t="s">
        <v>2</v>
      </c>
      <c r="U21" s="20" t="s">
        <v>2</v>
      </c>
      <c r="V21" s="20" t="s">
        <v>2</v>
      </c>
      <c r="W21" s="20" t="s">
        <v>2</v>
      </c>
      <c r="X21" s="20" t="s">
        <v>2</v>
      </c>
      <c r="Y21" s="2"/>
      <c r="Z21" s="2"/>
      <c r="AA21" s="5">
        <f t="shared" ca="1" si="1"/>
        <v>10</v>
      </c>
      <c r="AB21" s="5">
        <f t="shared" ca="1" si="1"/>
        <v>7</v>
      </c>
      <c r="AC21" s="5">
        <f t="shared" ca="1" si="1"/>
        <v>9</v>
      </c>
      <c r="AD21" s="16"/>
      <c r="AE21" s="16"/>
      <c r="AF21" s="18"/>
      <c r="AG21" s="18"/>
      <c r="AH21" s="2"/>
    </row>
    <row r="22" spans="1:34" x14ac:dyDescent="0.2">
      <c r="A22" s="5" t="str">
        <f>'Macro &amp; Importar'!A22</f>
        <v xml:space="preserve">1110481823029       </v>
      </c>
      <c r="B22" s="5" t="str">
        <f>'Macro &amp; Importar'!B22</f>
        <v>HENRIQUE SOUZA LIMA</v>
      </c>
      <c r="C22" s="5">
        <f>'Macro &amp; Importar'!C22</f>
        <v>0</v>
      </c>
      <c r="D22" s="5">
        <f t="shared" ca="1" si="0"/>
        <v>2</v>
      </c>
      <c r="E22" s="20" t="s">
        <v>2</v>
      </c>
      <c r="F22" s="20" t="s">
        <v>2</v>
      </c>
      <c r="G22" s="20" t="s">
        <v>2</v>
      </c>
      <c r="H22" s="20" t="s">
        <v>2</v>
      </c>
      <c r="I22" s="20" t="s">
        <v>2</v>
      </c>
      <c r="J22" s="20" t="s">
        <v>2</v>
      </c>
      <c r="K22" s="20" t="s">
        <v>2</v>
      </c>
      <c r="L22" s="20" t="s">
        <v>2</v>
      </c>
      <c r="M22" s="20" t="s">
        <v>2</v>
      </c>
      <c r="N22" s="20" t="s">
        <v>2</v>
      </c>
      <c r="O22" s="20" t="s">
        <v>2</v>
      </c>
      <c r="P22" s="20" t="s">
        <v>2</v>
      </c>
      <c r="Q22" s="20" t="s">
        <v>2</v>
      </c>
      <c r="R22" s="20" t="s">
        <v>2</v>
      </c>
      <c r="S22" s="20" t="s">
        <v>2</v>
      </c>
      <c r="T22" s="20" t="s">
        <v>2</v>
      </c>
      <c r="U22" s="20" t="s">
        <v>2</v>
      </c>
      <c r="V22" s="20" t="s">
        <v>2</v>
      </c>
      <c r="W22" s="20" t="s">
        <v>2</v>
      </c>
      <c r="X22" s="20" t="s">
        <v>2</v>
      </c>
      <c r="Y22" s="2"/>
      <c r="Z22" s="2"/>
      <c r="AA22" s="5">
        <f t="shared" ca="1" si="1"/>
        <v>6</v>
      </c>
      <c r="AB22" s="5">
        <f t="shared" ca="1" si="1"/>
        <v>8</v>
      </c>
      <c r="AC22" s="5">
        <f t="shared" ca="1" si="1"/>
        <v>9</v>
      </c>
      <c r="AD22" s="16"/>
      <c r="AE22" s="16"/>
      <c r="AF22" s="18"/>
      <c r="AG22" s="18"/>
      <c r="AH22" s="5"/>
    </row>
    <row r="23" spans="1:34" x14ac:dyDescent="0.2">
      <c r="A23" s="5" t="str">
        <f>'Macro &amp; Importar'!A23</f>
        <v xml:space="preserve">1110481823042       </v>
      </c>
      <c r="B23" s="5" t="str">
        <f>'Macro &amp; Importar'!B23</f>
        <v>ISABELLY PINHEIRO SERRA</v>
      </c>
      <c r="C23" s="5">
        <f>'Macro &amp; Importar'!C23</f>
        <v>0</v>
      </c>
      <c r="D23" s="5">
        <f t="shared" ca="1" si="0"/>
        <v>6</v>
      </c>
      <c r="E23" s="20" t="s">
        <v>2</v>
      </c>
      <c r="F23" s="20" t="s">
        <v>2</v>
      </c>
      <c r="G23" s="20" t="s">
        <v>2</v>
      </c>
      <c r="H23" s="20" t="s">
        <v>2</v>
      </c>
      <c r="I23" s="20" t="s">
        <v>2</v>
      </c>
      <c r="J23" s="20" t="s">
        <v>2</v>
      </c>
      <c r="K23" s="20" t="s">
        <v>2</v>
      </c>
      <c r="L23" s="20" t="s">
        <v>2</v>
      </c>
      <c r="M23" s="20" t="s">
        <v>2</v>
      </c>
      <c r="N23" s="20" t="s">
        <v>2</v>
      </c>
      <c r="O23" s="20" t="s">
        <v>2</v>
      </c>
      <c r="P23" s="20" t="s">
        <v>2</v>
      </c>
      <c r="Q23" s="20" t="s">
        <v>2</v>
      </c>
      <c r="R23" s="20" t="s">
        <v>2</v>
      </c>
      <c r="S23" s="20" t="s">
        <v>2</v>
      </c>
      <c r="T23" s="20" t="s">
        <v>2</v>
      </c>
      <c r="U23" s="20" t="s">
        <v>2</v>
      </c>
      <c r="V23" s="20" t="s">
        <v>2</v>
      </c>
      <c r="W23" s="20" t="s">
        <v>2</v>
      </c>
      <c r="X23" s="20" t="s">
        <v>2</v>
      </c>
      <c r="Y23" s="2"/>
      <c r="Z23" s="2"/>
      <c r="AA23" s="5">
        <f t="shared" ca="1" si="1"/>
        <v>3</v>
      </c>
      <c r="AB23" s="5">
        <f t="shared" ca="1" si="1"/>
        <v>6</v>
      </c>
      <c r="AC23" s="5">
        <f t="shared" ca="1" si="1"/>
        <v>1</v>
      </c>
      <c r="AD23" s="16"/>
      <c r="AE23" s="16"/>
      <c r="AF23" s="18"/>
      <c r="AG23" s="18"/>
      <c r="AH23" s="5"/>
    </row>
    <row r="24" spans="1:34" x14ac:dyDescent="0.2">
      <c r="A24" s="5" t="str">
        <f>'Macro &amp; Importar'!A24</f>
        <v xml:space="preserve">1110481823044       </v>
      </c>
      <c r="B24" s="5" t="str">
        <f>'Macro &amp; Importar'!B24</f>
        <v>JOAO VICTOR PATROCINIO CARNEIRO</v>
      </c>
      <c r="C24" s="5">
        <f>'Macro &amp; Importar'!C24</f>
        <v>0</v>
      </c>
      <c r="D24" s="5">
        <f t="shared" ca="1" si="0"/>
        <v>1</v>
      </c>
      <c r="E24" s="20" t="s">
        <v>2</v>
      </c>
      <c r="F24" s="20" t="s">
        <v>2</v>
      </c>
      <c r="G24" s="20" t="s">
        <v>2</v>
      </c>
      <c r="H24" s="20" t="s">
        <v>2</v>
      </c>
      <c r="I24" s="20" t="s">
        <v>2</v>
      </c>
      <c r="J24" s="20" t="s">
        <v>2</v>
      </c>
      <c r="K24" s="20" t="s">
        <v>2</v>
      </c>
      <c r="L24" s="20" t="s">
        <v>2</v>
      </c>
      <c r="M24" s="20" t="s">
        <v>2</v>
      </c>
      <c r="N24" s="20" t="s">
        <v>2</v>
      </c>
      <c r="O24" s="20" t="s">
        <v>2</v>
      </c>
      <c r="P24" s="20" t="s">
        <v>2</v>
      </c>
      <c r="Q24" s="20" t="s">
        <v>2</v>
      </c>
      <c r="R24" s="20" t="s">
        <v>2</v>
      </c>
      <c r="S24" s="20" t="s">
        <v>2</v>
      </c>
      <c r="T24" s="20" t="s">
        <v>2</v>
      </c>
      <c r="U24" s="20" t="s">
        <v>2</v>
      </c>
      <c r="V24" s="20" t="s">
        <v>2</v>
      </c>
      <c r="W24" s="20" t="s">
        <v>2</v>
      </c>
      <c r="X24" s="20" t="s">
        <v>2</v>
      </c>
      <c r="Y24" s="2"/>
      <c r="Z24" s="2"/>
      <c r="AA24" s="5">
        <f t="shared" ca="1" si="1"/>
        <v>6</v>
      </c>
      <c r="AB24" s="5">
        <f t="shared" ca="1" si="1"/>
        <v>7</v>
      </c>
      <c r="AC24" s="5">
        <f t="shared" ca="1" si="1"/>
        <v>7</v>
      </c>
      <c r="AD24" s="16"/>
      <c r="AE24" s="16"/>
      <c r="AF24" s="18"/>
      <c r="AG24" s="18"/>
      <c r="AH24" s="1"/>
    </row>
    <row r="25" spans="1:34" x14ac:dyDescent="0.2">
      <c r="A25" s="5" t="str">
        <f>'Macro &amp; Importar'!A25</f>
        <v xml:space="preserve">1110481823043       </v>
      </c>
      <c r="B25" s="5" t="str">
        <f>'Macro &amp; Importar'!B25</f>
        <v xml:space="preserve">JOSE AMARO FERRER DE QUADROS                      </v>
      </c>
      <c r="C25" s="5">
        <f>'Macro &amp; Importar'!C25</f>
        <v>0</v>
      </c>
      <c r="D25" s="5">
        <f t="shared" ca="1" si="0"/>
        <v>4</v>
      </c>
      <c r="E25" s="20" t="s">
        <v>2</v>
      </c>
      <c r="F25" s="20" t="s">
        <v>2</v>
      </c>
      <c r="G25" s="20" t="s">
        <v>2</v>
      </c>
      <c r="H25" s="20" t="s">
        <v>2</v>
      </c>
      <c r="I25" s="20" t="s">
        <v>2</v>
      </c>
      <c r="J25" s="20" t="s">
        <v>2</v>
      </c>
      <c r="K25" s="20" t="s">
        <v>2</v>
      </c>
      <c r="L25" s="20" t="s">
        <v>2</v>
      </c>
      <c r="M25" s="20" t="s">
        <v>2</v>
      </c>
      <c r="N25" s="20" t="s">
        <v>2</v>
      </c>
      <c r="O25" s="20" t="s">
        <v>2</v>
      </c>
      <c r="P25" s="20" t="s">
        <v>2</v>
      </c>
      <c r="Q25" s="20" t="s">
        <v>2</v>
      </c>
      <c r="R25" s="20" t="s">
        <v>2</v>
      </c>
      <c r="S25" s="20" t="s">
        <v>2</v>
      </c>
      <c r="T25" s="20" t="s">
        <v>2</v>
      </c>
      <c r="U25" s="20" t="s">
        <v>2</v>
      </c>
      <c r="V25" s="20" t="s">
        <v>2</v>
      </c>
      <c r="W25" s="20" t="s">
        <v>2</v>
      </c>
      <c r="X25" s="20" t="s">
        <v>2</v>
      </c>
      <c r="Y25" s="2"/>
      <c r="Z25" s="2"/>
      <c r="AA25" s="5">
        <f t="shared" ca="1" si="1"/>
        <v>1</v>
      </c>
      <c r="AB25" s="5">
        <f t="shared" ca="1" si="1"/>
        <v>1</v>
      </c>
      <c r="AC25" s="5">
        <f t="shared" ca="1" si="1"/>
        <v>5</v>
      </c>
      <c r="AD25" s="16"/>
      <c r="AE25" s="16"/>
      <c r="AF25" s="18"/>
      <c r="AG25" s="18"/>
      <c r="AH25" s="5"/>
    </row>
    <row r="26" spans="1:34" x14ac:dyDescent="0.2">
      <c r="A26" s="5" t="str">
        <f>'Macro &amp; Importar'!A26</f>
        <v xml:space="preserve">1110481823023       </v>
      </c>
      <c r="B26" s="5" t="str">
        <f>'Macro &amp; Importar'!B26</f>
        <v>JULIE CANDIDO TAVARES</v>
      </c>
      <c r="C26" s="5">
        <f>'Macro &amp; Importar'!C26</f>
        <v>0</v>
      </c>
      <c r="D26" s="5">
        <f t="shared" ca="1" si="0"/>
        <v>1</v>
      </c>
      <c r="E26" s="20" t="s">
        <v>2</v>
      </c>
      <c r="F26" s="20" t="s">
        <v>2</v>
      </c>
      <c r="G26" s="20" t="s">
        <v>2</v>
      </c>
      <c r="H26" s="20" t="s">
        <v>2</v>
      </c>
      <c r="I26" s="20" t="s">
        <v>2</v>
      </c>
      <c r="J26" s="20" t="s">
        <v>2</v>
      </c>
      <c r="K26" s="20" t="s">
        <v>2</v>
      </c>
      <c r="L26" s="20" t="s">
        <v>2</v>
      </c>
      <c r="M26" s="20" t="s">
        <v>2</v>
      </c>
      <c r="N26" s="20" t="s">
        <v>2</v>
      </c>
      <c r="O26" s="20" t="s">
        <v>2</v>
      </c>
      <c r="P26" s="20" t="s">
        <v>2</v>
      </c>
      <c r="Q26" s="20" t="s">
        <v>2</v>
      </c>
      <c r="R26" s="20" t="s">
        <v>2</v>
      </c>
      <c r="S26" s="20" t="s">
        <v>2</v>
      </c>
      <c r="T26" s="20" t="s">
        <v>2</v>
      </c>
      <c r="U26" s="20" t="s">
        <v>2</v>
      </c>
      <c r="V26" s="20" t="s">
        <v>2</v>
      </c>
      <c r="W26" s="20" t="s">
        <v>2</v>
      </c>
      <c r="X26" s="20" t="s">
        <v>2</v>
      </c>
      <c r="Y26" s="2"/>
      <c r="Z26" s="2"/>
      <c r="AA26" s="5">
        <f t="shared" ca="1" si="1"/>
        <v>5</v>
      </c>
      <c r="AB26" s="5">
        <f t="shared" ca="1" si="1"/>
        <v>9</v>
      </c>
      <c r="AC26" s="5">
        <f t="shared" ca="1" si="1"/>
        <v>8</v>
      </c>
      <c r="AD26" s="16"/>
      <c r="AE26" s="16"/>
      <c r="AF26" s="18"/>
      <c r="AG26" s="18"/>
      <c r="AH26" s="2"/>
    </row>
    <row r="27" spans="1:34" x14ac:dyDescent="0.2">
      <c r="A27" s="5" t="str">
        <f>'Macro &amp; Importar'!A27</f>
        <v xml:space="preserve">1110481823020       </v>
      </c>
      <c r="B27" s="5" t="str">
        <f>'Macro &amp; Importar'!B27</f>
        <v>JULIO CESAR DA SILVA</v>
      </c>
      <c r="C27" s="5">
        <f>'Macro &amp; Importar'!C27</f>
        <v>0</v>
      </c>
      <c r="D27" s="5">
        <f t="shared" ca="1" si="0"/>
        <v>1</v>
      </c>
      <c r="E27" s="20" t="s">
        <v>2</v>
      </c>
      <c r="F27" s="20" t="s">
        <v>2</v>
      </c>
      <c r="G27" s="20" t="s">
        <v>2</v>
      </c>
      <c r="H27" s="20" t="s">
        <v>2</v>
      </c>
      <c r="I27" s="20" t="s">
        <v>2</v>
      </c>
      <c r="J27" s="20" t="s">
        <v>2</v>
      </c>
      <c r="K27" s="20" t="s">
        <v>2</v>
      </c>
      <c r="L27" s="20" t="s">
        <v>2</v>
      </c>
      <c r="M27" s="20" t="s">
        <v>2</v>
      </c>
      <c r="N27" s="20" t="s">
        <v>2</v>
      </c>
      <c r="O27" s="20" t="s">
        <v>2</v>
      </c>
      <c r="P27" s="20" t="s">
        <v>2</v>
      </c>
      <c r="Q27" s="20" t="s">
        <v>2</v>
      </c>
      <c r="R27" s="20" t="s">
        <v>2</v>
      </c>
      <c r="S27" s="20" t="s">
        <v>2</v>
      </c>
      <c r="T27" s="20" t="s">
        <v>2</v>
      </c>
      <c r="U27" s="20" t="s">
        <v>2</v>
      </c>
      <c r="V27" s="20" t="s">
        <v>2</v>
      </c>
      <c r="W27" s="20" t="s">
        <v>2</v>
      </c>
      <c r="X27" s="20" t="s">
        <v>2</v>
      </c>
      <c r="Y27" s="2"/>
      <c r="Z27" s="2"/>
      <c r="AA27" s="5">
        <f t="shared" ca="1" si="1"/>
        <v>6</v>
      </c>
      <c r="AB27" s="5">
        <f t="shared" ca="1" si="1"/>
        <v>5</v>
      </c>
      <c r="AC27" s="5">
        <f t="shared" ca="1" si="1"/>
        <v>9</v>
      </c>
      <c r="AD27" s="16"/>
      <c r="AE27" s="16"/>
      <c r="AF27" s="18"/>
      <c r="AG27" s="18"/>
      <c r="AH27" s="2"/>
    </row>
    <row r="28" spans="1:34" x14ac:dyDescent="0.2">
      <c r="A28" s="5" t="str">
        <f>'Macro &amp; Importar'!A28</f>
        <v xml:space="preserve">1110481813005       </v>
      </c>
      <c r="B28" s="5" t="str">
        <f>'Macro &amp; Importar'!B28</f>
        <v>KAIO VENANCIUS GALVAO SANTOS SILVA</v>
      </c>
      <c r="C28" s="5">
        <f>'Macro &amp; Importar'!C28</f>
        <v>0</v>
      </c>
      <c r="D28" s="5">
        <f t="shared" ca="1" si="0"/>
        <v>4</v>
      </c>
      <c r="E28" s="20" t="s">
        <v>2</v>
      </c>
      <c r="F28" s="20" t="s">
        <v>2</v>
      </c>
      <c r="G28" s="20" t="s">
        <v>2</v>
      </c>
      <c r="H28" s="20" t="s">
        <v>2</v>
      </c>
      <c r="I28" s="20" t="s">
        <v>2</v>
      </c>
      <c r="J28" s="20" t="s">
        <v>2</v>
      </c>
      <c r="K28" s="20" t="s">
        <v>2</v>
      </c>
      <c r="L28" s="20" t="s">
        <v>2</v>
      </c>
      <c r="M28" s="20" t="s">
        <v>2</v>
      </c>
      <c r="N28" s="20" t="s">
        <v>2</v>
      </c>
      <c r="O28" s="20" t="s">
        <v>2</v>
      </c>
      <c r="P28" s="20" t="s">
        <v>2</v>
      </c>
      <c r="Q28" s="20" t="s">
        <v>2</v>
      </c>
      <c r="R28" s="20" t="s">
        <v>2</v>
      </c>
      <c r="S28" s="20" t="s">
        <v>2</v>
      </c>
      <c r="T28" s="20" t="s">
        <v>2</v>
      </c>
      <c r="U28" s="20" t="s">
        <v>2</v>
      </c>
      <c r="V28" s="20" t="s">
        <v>2</v>
      </c>
      <c r="W28" s="20" t="s">
        <v>2</v>
      </c>
      <c r="X28" s="20" t="s">
        <v>2</v>
      </c>
      <c r="Y28" s="2"/>
      <c r="Z28" s="2"/>
      <c r="AA28" s="5">
        <f t="shared" ca="1" si="1"/>
        <v>4</v>
      </c>
      <c r="AB28" s="5">
        <f t="shared" ca="1" si="1"/>
        <v>7</v>
      </c>
      <c r="AC28" s="5">
        <f t="shared" ca="1" si="1"/>
        <v>4</v>
      </c>
      <c r="AD28" s="16"/>
      <c r="AE28" s="16"/>
      <c r="AF28" s="18"/>
      <c r="AG28" s="18"/>
      <c r="AH28" s="5"/>
    </row>
    <row r="29" spans="1:34" x14ac:dyDescent="0.2">
      <c r="A29" s="5" t="str">
        <f>'Macro &amp; Importar'!A29</f>
        <v xml:space="preserve">1110481823010       </v>
      </c>
      <c r="B29" s="5" t="str">
        <f>'Macro &amp; Importar'!B29</f>
        <v>KAREN GABRIELLA RODRIGUES DOS SANTOS</v>
      </c>
      <c r="C29" s="5">
        <f>'Macro &amp; Importar'!C29</f>
        <v>0</v>
      </c>
      <c r="D29" s="5">
        <f t="shared" ca="1" si="0"/>
        <v>1</v>
      </c>
      <c r="E29" s="20" t="s">
        <v>2</v>
      </c>
      <c r="F29" s="20" t="s">
        <v>2</v>
      </c>
      <c r="G29" s="20" t="s">
        <v>2</v>
      </c>
      <c r="H29" s="20" t="s">
        <v>2</v>
      </c>
      <c r="I29" s="20" t="s">
        <v>2</v>
      </c>
      <c r="J29" s="20" t="s">
        <v>2</v>
      </c>
      <c r="K29" s="20" t="s">
        <v>2</v>
      </c>
      <c r="L29" s="20" t="s">
        <v>2</v>
      </c>
      <c r="M29" s="20" t="s">
        <v>2</v>
      </c>
      <c r="N29" s="20" t="s">
        <v>2</v>
      </c>
      <c r="O29" s="20" t="s">
        <v>2</v>
      </c>
      <c r="P29" s="20" t="s">
        <v>2</v>
      </c>
      <c r="Q29" s="20" t="s">
        <v>2</v>
      </c>
      <c r="R29" s="20" t="s">
        <v>2</v>
      </c>
      <c r="S29" s="20" t="s">
        <v>2</v>
      </c>
      <c r="T29" s="20" t="s">
        <v>2</v>
      </c>
      <c r="U29" s="20" t="s">
        <v>2</v>
      </c>
      <c r="V29" s="20" t="s">
        <v>2</v>
      </c>
      <c r="W29" s="20" t="s">
        <v>2</v>
      </c>
      <c r="X29" s="20" t="s">
        <v>2</v>
      </c>
      <c r="Y29" s="2"/>
      <c r="Z29" s="2"/>
      <c r="AA29" s="5">
        <f t="shared" ca="1" si="1"/>
        <v>6</v>
      </c>
      <c r="AB29" s="5">
        <f t="shared" ca="1" si="1"/>
        <v>10</v>
      </c>
      <c r="AC29" s="5">
        <f t="shared" ca="1" si="1"/>
        <v>10</v>
      </c>
      <c r="AD29" s="16"/>
      <c r="AE29" s="16"/>
      <c r="AF29" s="18"/>
      <c r="AG29" s="18"/>
      <c r="AH29" s="2"/>
    </row>
    <row r="30" spans="1:34" x14ac:dyDescent="0.2">
      <c r="A30" s="5" t="str">
        <f>'Macro &amp; Importar'!A30</f>
        <v xml:space="preserve">1110481823039       </v>
      </c>
      <c r="B30" s="5" t="str">
        <f>'Macro &amp; Importar'!B30</f>
        <v>LAYS VERONEZI DOS SANTOS</v>
      </c>
      <c r="C30" s="5">
        <f>'Macro &amp; Importar'!C30</f>
        <v>0</v>
      </c>
      <c r="D30" s="5">
        <f t="shared" ca="1" si="0"/>
        <v>1</v>
      </c>
      <c r="E30" s="20" t="s">
        <v>2</v>
      </c>
      <c r="F30" s="20" t="s">
        <v>2</v>
      </c>
      <c r="G30" s="20" t="s">
        <v>2</v>
      </c>
      <c r="H30" s="20" t="s">
        <v>2</v>
      </c>
      <c r="I30" s="20" t="s">
        <v>2</v>
      </c>
      <c r="J30" s="20" t="s">
        <v>2</v>
      </c>
      <c r="K30" s="20" t="s">
        <v>2</v>
      </c>
      <c r="L30" s="20" t="s">
        <v>2</v>
      </c>
      <c r="M30" s="20" t="s">
        <v>2</v>
      </c>
      <c r="N30" s="20" t="s">
        <v>2</v>
      </c>
      <c r="O30" s="20" t="s">
        <v>2</v>
      </c>
      <c r="P30" s="20" t="s">
        <v>2</v>
      </c>
      <c r="Q30" s="20" t="s">
        <v>2</v>
      </c>
      <c r="R30" s="20" t="s">
        <v>2</v>
      </c>
      <c r="S30" s="20" t="s">
        <v>2</v>
      </c>
      <c r="T30" s="20" t="s">
        <v>2</v>
      </c>
      <c r="U30" s="20" t="s">
        <v>2</v>
      </c>
      <c r="V30" s="20" t="s">
        <v>2</v>
      </c>
      <c r="W30" s="20" t="s">
        <v>2</v>
      </c>
      <c r="X30" s="20" t="s">
        <v>2</v>
      </c>
      <c r="Y30" s="2"/>
      <c r="Z30" s="2"/>
      <c r="AA30" s="5">
        <f t="shared" ca="1" si="1"/>
        <v>6</v>
      </c>
      <c r="AB30" s="5">
        <f t="shared" ca="1" si="1"/>
        <v>10</v>
      </c>
      <c r="AC30" s="5">
        <f t="shared" ca="1" si="1"/>
        <v>2</v>
      </c>
      <c r="AD30" s="16"/>
      <c r="AE30" s="16"/>
      <c r="AF30" s="18"/>
      <c r="AG30" s="18"/>
      <c r="AH30" s="5"/>
    </row>
    <row r="31" spans="1:34" x14ac:dyDescent="0.2">
      <c r="A31" s="5" t="str">
        <f>'Macro &amp; Importar'!A31</f>
        <v xml:space="preserve">1110481823037       </v>
      </c>
      <c r="B31" s="5" t="str">
        <f>'Macro &amp; Importar'!B31</f>
        <v>LEONARDO SILVA MELO</v>
      </c>
      <c r="C31" s="5">
        <f>'Macro &amp; Importar'!C31</f>
        <v>0</v>
      </c>
      <c r="D31" s="5">
        <f t="shared" ca="1" si="0"/>
        <v>5</v>
      </c>
      <c r="E31" s="20" t="s">
        <v>2</v>
      </c>
      <c r="F31" s="20" t="s">
        <v>2</v>
      </c>
      <c r="G31" s="20" t="s">
        <v>2</v>
      </c>
      <c r="H31" s="20" t="s">
        <v>2</v>
      </c>
      <c r="I31" s="20" t="s">
        <v>2</v>
      </c>
      <c r="J31" s="20" t="s">
        <v>2</v>
      </c>
      <c r="K31" s="20" t="s">
        <v>2</v>
      </c>
      <c r="L31" s="20" t="s">
        <v>2</v>
      </c>
      <c r="M31" s="20" t="s">
        <v>2</v>
      </c>
      <c r="N31" s="20" t="s">
        <v>2</v>
      </c>
      <c r="O31" s="20" t="s">
        <v>2</v>
      </c>
      <c r="P31" s="20" t="s">
        <v>2</v>
      </c>
      <c r="Q31" s="20" t="s">
        <v>2</v>
      </c>
      <c r="R31" s="20" t="s">
        <v>2</v>
      </c>
      <c r="S31" s="20" t="s">
        <v>2</v>
      </c>
      <c r="T31" s="20" t="s">
        <v>2</v>
      </c>
      <c r="U31" s="20" t="s">
        <v>2</v>
      </c>
      <c r="V31" s="20" t="s">
        <v>2</v>
      </c>
      <c r="W31" s="20" t="s">
        <v>2</v>
      </c>
      <c r="X31" s="20" t="s">
        <v>2</v>
      </c>
      <c r="Y31" s="2"/>
      <c r="Z31" s="2"/>
      <c r="AA31" s="5">
        <f t="shared" ca="1" si="1"/>
        <v>1</v>
      </c>
      <c r="AB31" s="5">
        <f t="shared" ca="1" si="1"/>
        <v>6</v>
      </c>
      <c r="AC31" s="5">
        <f t="shared" ca="1" si="1"/>
        <v>2</v>
      </c>
      <c r="AD31" s="16"/>
      <c r="AE31" s="16"/>
      <c r="AF31" s="18"/>
      <c r="AG31" s="18"/>
      <c r="AH31" s="2"/>
    </row>
    <row r="32" spans="1:34" x14ac:dyDescent="0.2">
      <c r="A32" s="5" t="str">
        <f>'Macro &amp; Importar'!A32</f>
        <v xml:space="preserve">1110481722041       </v>
      </c>
      <c r="B32" s="5" t="str">
        <f>'Macro &amp; Importar'!B32</f>
        <v>LEONARDO VANDRE SINESIO</v>
      </c>
      <c r="C32" s="5">
        <f>'Macro &amp; Importar'!C32</f>
        <v>0</v>
      </c>
      <c r="D32" s="5">
        <f t="shared" ca="1" si="0"/>
        <v>7</v>
      </c>
      <c r="E32" s="20" t="s">
        <v>2</v>
      </c>
      <c r="F32" s="20" t="s">
        <v>2</v>
      </c>
      <c r="G32" s="20" t="s">
        <v>2</v>
      </c>
      <c r="H32" s="20" t="s">
        <v>2</v>
      </c>
      <c r="I32" s="20" t="s">
        <v>2</v>
      </c>
      <c r="J32" s="20" t="s">
        <v>2</v>
      </c>
      <c r="K32" s="20" t="s">
        <v>2</v>
      </c>
      <c r="L32" s="20" t="s">
        <v>2</v>
      </c>
      <c r="M32" s="20" t="s">
        <v>2</v>
      </c>
      <c r="N32" s="20" t="s">
        <v>2</v>
      </c>
      <c r="O32" s="20" t="s">
        <v>2</v>
      </c>
      <c r="P32" s="20" t="s">
        <v>2</v>
      </c>
      <c r="Q32" s="20" t="s">
        <v>2</v>
      </c>
      <c r="R32" s="20" t="s">
        <v>2</v>
      </c>
      <c r="S32" s="20" t="s">
        <v>2</v>
      </c>
      <c r="T32" s="20" t="s">
        <v>2</v>
      </c>
      <c r="U32" s="20" t="s">
        <v>2</v>
      </c>
      <c r="V32" s="20" t="s">
        <v>2</v>
      </c>
      <c r="W32" s="20" t="s">
        <v>2</v>
      </c>
      <c r="X32" s="20" t="s">
        <v>2</v>
      </c>
      <c r="Y32" s="2"/>
      <c r="Z32" s="2"/>
      <c r="AA32" s="5">
        <f t="shared" ca="1" si="1"/>
        <v>3</v>
      </c>
      <c r="AB32" s="5">
        <f t="shared" ca="1" si="1"/>
        <v>5</v>
      </c>
      <c r="AC32" s="5">
        <f t="shared" ca="1" si="1"/>
        <v>5</v>
      </c>
      <c r="AD32" s="16"/>
      <c r="AE32" s="16"/>
      <c r="AF32" s="18"/>
      <c r="AG32" s="18"/>
      <c r="AH32" s="5"/>
    </row>
    <row r="33" spans="1:34" x14ac:dyDescent="0.2">
      <c r="A33" s="5" t="str">
        <f>'Macro &amp; Importar'!A33</f>
        <v xml:space="preserve">1110481813032       </v>
      </c>
      <c r="B33" s="5" t="str">
        <f>'Macro &amp; Importar'!B33</f>
        <v>LUCAS CARDOSO DA SILVA BORGES</v>
      </c>
      <c r="C33" s="5">
        <f>'Macro &amp; Importar'!C33</f>
        <v>0</v>
      </c>
      <c r="D33" s="5">
        <f t="shared" ca="1" si="0"/>
        <v>5</v>
      </c>
      <c r="E33" s="20" t="s">
        <v>2</v>
      </c>
      <c r="F33" s="20" t="s">
        <v>2</v>
      </c>
      <c r="G33" s="20" t="s">
        <v>2</v>
      </c>
      <c r="H33" s="20" t="s">
        <v>2</v>
      </c>
      <c r="I33" s="20" t="s">
        <v>2</v>
      </c>
      <c r="J33" s="20" t="s">
        <v>2</v>
      </c>
      <c r="K33" s="20" t="s">
        <v>2</v>
      </c>
      <c r="L33" s="20" t="s">
        <v>2</v>
      </c>
      <c r="M33" s="20" t="s">
        <v>2</v>
      </c>
      <c r="N33" s="20" t="s">
        <v>2</v>
      </c>
      <c r="O33" s="20" t="s">
        <v>2</v>
      </c>
      <c r="P33" s="20" t="s">
        <v>2</v>
      </c>
      <c r="Q33" s="20" t="s">
        <v>2</v>
      </c>
      <c r="R33" s="20" t="s">
        <v>2</v>
      </c>
      <c r="S33" s="20" t="s">
        <v>2</v>
      </c>
      <c r="T33" s="20" t="s">
        <v>2</v>
      </c>
      <c r="U33" s="20" t="s">
        <v>2</v>
      </c>
      <c r="V33" s="20" t="s">
        <v>2</v>
      </c>
      <c r="W33" s="20" t="s">
        <v>2</v>
      </c>
      <c r="X33" s="20" t="s">
        <v>2</v>
      </c>
      <c r="Y33" s="2"/>
      <c r="Z33" s="2"/>
      <c r="AA33" s="5">
        <f t="shared" ca="1" si="1"/>
        <v>4</v>
      </c>
      <c r="AB33" s="5">
        <f t="shared" ca="1" si="1"/>
        <v>4</v>
      </c>
      <c r="AC33" s="5">
        <f t="shared" ca="1" si="1"/>
        <v>4</v>
      </c>
      <c r="AD33" s="16"/>
      <c r="AE33" s="16"/>
      <c r="AF33" s="18"/>
      <c r="AG33" s="18"/>
      <c r="AH33" s="2"/>
    </row>
    <row r="34" spans="1:34" x14ac:dyDescent="0.2">
      <c r="A34" s="5" t="str">
        <f>'Macro &amp; Importar'!A34</f>
        <v xml:space="preserve">1110481813042       </v>
      </c>
      <c r="B34" s="5" t="str">
        <f>'Macro &amp; Importar'!B34</f>
        <v>LUCAS LIUDI TAMASHIRO</v>
      </c>
      <c r="C34" s="5">
        <f>'Macro &amp; Importar'!C34</f>
        <v>0</v>
      </c>
      <c r="D34" s="5">
        <f t="shared" ca="1" si="0"/>
        <v>2</v>
      </c>
      <c r="E34" s="20" t="s">
        <v>2</v>
      </c>
      <c r="F34" s="20" t="s">
        <v>2</v>
      </c>
      <c r="G34" s="20" t="s">
        <v>2</v>
      </c>
      <c r="H34" s="20" t="s">
        <v>2</v>
      </c>
      <c r="I34" s="20" t="s">
        <v>2</v>
      </c>
      <c r="J34" s="20" t="s">
        <v>2</v>
      </c>
      <c r="K34" s="20" t="s">
        <v>2</v>
      </c>
      <c r="L34" s="20" t="s">
        <v>2</v>
      </c>
      <c r="M34" s="20" t="s">
        <v>2</v>
      </c>
      <c r="N34" s="20" t="s">
        <v>2</v>
      </c>
      <c r="O34" s="20" t="s">
        <v>2</v>
      </c>
      <c r="P34" s="20" t="s">
        <v>2</v>
      </c>
      <c r="Q34" s="20" t="s">
        <v>2</v>
      </c>
      <c r="R34" s="20" t="s">
        <v>2</v>
      </c>
      <c r="S34" s="20" t="s">
        <v>2</v>
      </c>
      <c r="T34" s="20" t="s">
        <v>2</v>
      </c>
      <c r="U34" s="20" t="s">
        <v>2</v>
      </c>
      <c r="V34" s="20" t="s">
        <v>2</v>
      </c>
      <c r="W34" s="20" t="s">
        <v>2</v>
      </c>
      <c r="X34" s="20" t="s">
        <v>2</v>
      </c>
      <c r="Y34" s="2"/>
      <c r="Z34" s="2"/>
      <c r="AA34" s="5">
        <f t="shared" ca="1" si="1"/>
        <v>6</v>
      </c>
      <c r="AB34" s="5">
        <f t="shared" ca="1" si="1"/>
        <v>8</v>
      </c>
      <c r="AC34" s="5">
        <f t="shared" ca="1" si="1"/>
        <v>2</v>
      </c>
      <c r="AD34" s="16"/>
      <c r="AE34" s="16"/>
      <c r="AF34" s="18"/>
      <c r="AG34" s="18"/>
      <c r="AH34" s="5"/>
    </row>
    <row r="35" spans="1:34" x14ac:dyDescent="0.2">
      <c r="A35" s="5" t="str">
        <f>'Macro &amp; Importar'!A35</f>
        <v xml:space="preserve">1110481823033       </v>
      </c>
      <c r="B35" s="5" t="str">
        <f>'Macro &amp; Importar'!B35</f>
        <v>LUCAS SILVA BERTOLDO SANTOS</v>
      </c>
      <c r="C35" s="5">
        <f>'Macro &amp; Importar'!C35</f>
        <v>0</v>
      </c>
      <c r="D35" s="5">
        <f t="shared" ca="1" si="0"/>
        <v>5</v>
      </c>
      <c r="E35" s="20" t="s">
        <v>2</v>
      </c>
      <c r="F35" s="20" t="s">
        <v>2</v>
      </c>
      <c r="G35" s="20" t="s">
        <v>2</v>
      </c>
      <c r="H35" s="20" t="s">
        <v>2</v>
      </c>
      <c r="I35" s="20" t="s">
        <v>2</v>
      </c>
      <c r="J35" s="20" t="s">
        <v>2</v>
      </c>
      <c r="K35" s="20" t="s">
        <v>2</v>
      </c>
      <c r="L35" s="20" t="s">
        <v>2</v>
      </c>
      <c r="M35" s="20" t="s">
        <v>2</v>
      </c>
      <c r="N35" s="20" t="s">
        <v>2</v>
      </c>
      <c r="O35" s="20" t="s">
        <v>2</v>
      </c>
      <c r="P35" s="20" t="s">
        <v>2</v>
      </c>
      <c r="Q35" s="20" t="s">
        <v>2</v>
      </c>
      <c r="R35" s="20" t="s">
        <v>2</v>
      </c>
      <c r="S35" s="20" t="s">
        <v>2</v>
      </c>
      <c r="T35" s="20" t="s">
        <v>2</v>
      </c>
      <c r="U35" s="20" t="s">
        <v>2</v>
      </c>
      <c r="V35" s="20" t="s">
        <v>2</v>
      </c>
      <c r="W35" s="20" t="s">
        <v>2</v>
      </c>
      <c r="X35" s="20" t="s">
        <v>2</v>
      </c>
      <c r="Y35" s="2"/>
      <c r="Z35" s="2"/>
      <c r="AA35" s="5">
        <f t="shared" ref="AA35:AC36" ca="1" si="3">RANDBETWEEN(1,10)</f>
        <v>5</v>
      </c>
      <c r="AB35" s="5">
        <f t="shared" ca="1" si="3"/>
        <v>1</v>
      </c>
      <c r="AC35" s="5">
        <f t="shared" ca="1" si="3"/>
        <v>4</v>
      </c>
      <c r="AD35" s="16"/>
      <c r="AE35" s="16"/>
      <c r="AF35" s="18"/>
      <c r="AG35" s="18"/>
      <c r="AH35" s="15"/>
    </row>
    <row r="36" spans="1:34" x14ac:dyDescent="0.2">
      <c r="A36" s="5" t="str">
        <f>'Macro &amp; Importar'!A36</f>
        <v xml:space="preserve">1110481823051       </v>
      </c>
      <c r="B36" s="5" t="str">
        <f>'Macro &amp; Importar'!B36</f>
        <v>LUIZ FERNANDO GERALDO DOS SANTOS</v>
      </c>
      <c r="C36" s="5">
        <f>'Macro &amp; Importar'!C36</f>
        <v>0</v>
      </c>
      <c r="D36" s="5">
        <f t="shared" ca="1" si="0"/>
        <v>2</v>
      </c>
      <c r="E36" s="20" t="s">
        <v>2</v>
      </c>
      <c r="F36" s="20" t="s">
        <v>2</v>
      </c>
      <c r="G36" s="20" t="s">
        <v>2</v>
      </c>
      <c r="H36" s="20" t="s">
        <v>2</v>
      </c>
      <c r="I36" s="20" t="s">
        <v>2</v>
      </c>
      <c r="J36" s="20" t="s">
        <v>2</v>
      </c>
      <c r="K36" s="20" t="s">
        <v>2</v>
      </c>
      <c r="L36" s="20" t="s">
        <v>2</v>
      </c>
      <c r="M36" s="20" t="s">
        <v>2</v>
      </c>
      <c r="N36" s="20" t="s">
        <v>2</v>
      </c>
      <c r="O36" s="20" t="s">
        <v>2</v>
      </c>
      <c r="P36" s="20" t="s">
        <v>2</v>
      </c>
      <c r="Q36" s="20" t="s">
        <v>2</v>
      </c>
      <c r="R36" s="20" t="s">
        <v>2</v>
      </c>
      <c r="S36" s="20" t="s">
        <v>2</v>
      </c>
      <c r="T36" s="20" t="s">
        <v>2</v>
      </c>
      <c r="U36" s="20" t="s">
        <v>2</v>
      </c>
      <c r="V36" s="20" t="s">
        <v>2</v>
      </c>
      <c r="W36" s="20" t="s">
        <v>2</v>
      </c>
      <c r="X36" s="20" t="s">
        <v>2</v>
      </c>
      <c r="Y36" s="2"/>
      <c r="Z36" s="2"/>
      <c r="AA36" s="5">
        <f t="shared" ca="1" si="3"/>
        <v>4</v>
      </c>
      <c r="AB36" s="5">
        <f t="shared" ca="1" si="3"/>
        <v>9</v>
      </c>
      <c r="AC36" s="5">
        <f t="shared" ca="1" si="3"/>
        <v>7</v>
      </c>
      <c r="AD36" s="16"/>
      <c r="AE36" s="16"/>
      <c r="AF36" s="18"/>
      <c r="AG36" s="18"/>
      <c r="AH36" s="5"/>
    </row>
    <row r="37" spans="1:34" x14ac:dyDescent="0.2">
      <c r="A37" s="5" t="str">
        <f>'Macro &amp; Importar'!A37</f>
        <v xml:space="preserve">1110481823011       </v>
      </c>
      <c r="B37" s="5" t="str">
        <f>'Macro &amp; Importar'!B37</f>
        <v>MANOEL MAURICIO MENDES</v>
      </c>
      <c r="C37" s="5">
        <f>'Macro &amp; Importar'!C37</f>
        <v>0</v>
      </c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"/>
      <c r="Z37" s="2"/>
      <c r="AC37" s="5"/>
      <c r="AD37" s="16"/>
      <c r="AE37" s="16"/>
      <c r="AF37" s="18"/>
      <c r="AG37" s="18"/>
      <c r="AH37" s="5"/>
    </row>
    <row r="38" spans="1:34" x14ac:dyDescent="0.2">
      <c r="A38" s="5" t="str">
        <f>'Macro &amp; Importar'!A38</f>
        <v xml:space="preserve">1110481823047       </v>
      </c>
      <c r="B38" s="5" t="str">
        <f>'Macro &amp; Importar'!B38</f>
        <v>MARCO ANTONIO MARTINEZ</v>
      </c>
      <c r="C38" s="5">
        <f>'Macro &amp; Importar'!C38</f>
        <v>0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"/>
      <c r="Z38" s="2"/>
      <c r="AC38" s="5"/>
      <c r="AD38" s="16"/>
      <c r="AE38" s="16"/>
      <c r="AF38" s="18"/>
      <c r="AG38" s="18"/>
      <c r="AH38" s="5"/>
    </row>
    <row r="39" spans="1:34" x14ac:dyDescent="0.2">
      <c r="A39" s="5" t="str">
        <f>'Macro &amp; Importar'!A39</f>
        <v xml:space="preserve">1110481823054       </v>
      </c>
      <c r="B39" s="5" t="str">
        <f>'Macro &amp; Importar'!B39</f>
        <v>MARCONI BERTI LOURENCO RODRIGUES</v>
      </c>
      <c r="C39" s="5">
        <f>'Macro &amp; Importar'!C39</f>
        <v>0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"/>
      <c r="Z39" s="2"/>
      <c r="AC39" s="5"/>
      <c r="AD39" s="16"/>
      <c r="AE39" s="16"/>
      <c r="AF39" s="18"/>
      <c r="AG39" s="18"/>
      <c r="AH39" s="5"/>
    </row>
    <row r="40" spans="1:34" x14ac:dyDescent="0.2">
      <c r="A40" s="5" t="str">
        <f>'Macro &amp; Importar'!A40</f>
        <v xml:space="preserve">1110481823034       </v>
      </c>
      <c r="B40" s="5" t="str">
        <f>'Macro &amp; Importar'!B40</f>
        <v>MATHEUS GUGONI PRADA</v>
      </c>
      <c r="C40" s="5">
        <f>'Macro &amp; Importar'!C40</f>
        <v>0</v>
      </c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"/>
      <c r="Z40" s="2"/>
      <c r="AC40" s="5"/>
      <c r="AD40" s="16"/>
      <c r="AE40" s="16"/>
      <c r="AF40" s="18"/>
      <c r="AG40" s="18"/>
      <c r="AH40" s="5"/>
    </row>
    <row r="41" spans="1:34" x14ac:dyDescent="0.2">
      <c r="A41" s="5" t="str">
        <f>'Macro &amp; Importar'!A41</f>
        <v xml:space="preserve">1110481812051       </v>
      </c>
      <c r="B41" s="5" t="str">
        <f>'Macro &amp; Importar'!B41</f>
        <v xml:space="preserve">PAULO CESAR ALVES FEITOSA                         </v>
      </c>
      <c r="C41" s="5">
        <f>'Macro &amp; Importar'!C41</f>
        <v>0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"/>
      <c r="Z41" s="2"/>
      <c r="AC41" s="5"/>
      <c r="AD41" s="16"/>
      <c r="AE41" s="16"/>
      <c r="AF41" s="18"/>
      <c r="AG41" s="18"/>
      <c r="AH41" s="5"/>
    </row>
    <row r="42" spans="1:34" x14ac:dyDescent="0.2">
      <c r="A42" s="5" t="str">
        <f>'Macro &amp; Importar'!A42</f>
        <v xml:space="preserve">1110481813022       </v>
      </c>
      <c r="B42" s="5" t="str">
        <f>'Macro &amp; Importar'!B42</f>
        <v>PETRUS FERNANDES DE MELO</v>
      </c>
      <c r="C42" s="5">
        <f>'Macro &amp; Importar'!C42</f>
        <v>0</v>
      </c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"/>
      <c r="Z42" s="2"/>
      <c r="AC42" s="5"/>
      <c r="AD42" s="16"/>
      <c r="AE42" s="16"/>
      <c r="AF42" s="18"/>
      <c r="AG42" s="18"/>
      <c r="AH42" s="5"/>
    </row>
    <row r="43" spans="1:34" x14ac:dyDescent="0.2">
      <c r="A43" s="5" t="str">
        <f>'Macro &amp; Importar'!A43</f>
        <v xml:space="preserve">1110481823053       </v>
      </c>
      <c r="B43" s="5" t="str">
        <f>'Macro &amp; Importar'!B43</f>
        <v>PRISCILA ROSA DOS SANTOS</v>
      </c>
      <c r="C43" s="5">
        <f>'Macro &amp; Importar'!C43</f>
        <v>0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"/>
      <c r="Z43" s="2"/>
      <c r="AC43" s="5"/>
      <c r="AD43" s="16"/>
      <c r="AE43" s="16"/>
      <c r="AF43" s="18"/>
      <c r="AG43" s="18"/>
      <c r="AH43" s="5"/>
    </row>
    <row r="44" spans="1:34" x14ac:dyDescent="0.2">
      <c r="A44" s="5" t="str">
        <f>'Macro &amp; Importar'!A44</f>
        <v xml:space="preserve">1110481813003       </v>
      </c>
      <c r="B44" s="5" t="str">
        <f>'Macro &amp; Importar'!B44</f>
        <v>RAFAEL GARCIA FLORES</v>
      </c>
      <c r="C44" s="5">
        <f>'Macro &amp; Importar'!C44</f>
        <v>0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"/>
      <c r="Z44" s="2"/>
      <c r="AC44" s="5"/>
      <c r="AD44" s="16"/>
      <c r="AE44" s="16"/>
      <c r="AF44" s="18"/>
      <c r="AG44" s="18"/>
      <c r="AH44" s="5"/>
    </row>
    <row r="45" spans="1:34" x14ac:dyDescent="0.2">
      <c r="A45" s="5" t="str">
        <f>'Macro &amp; Importar'!A45</f>
        <v xml:space="preserve">1110481823032       </v>
      </c>
      <c r="B45" s="5" t="str">
        <f>'Macro &amp; Importar'!B45</f>
        <v>RAQUEL MARTINS DO NASCIMENTO</v>
      </c>
      <c r="C45" s="5">
        <f>'Macro &amp; Importar'!C45</f>
        <v>0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"/>
      <c r="Z45" s="2"/>
      <c r="AC45" s="5"/>
      <c r="AD45" s="16"/>
      <c r="AE45" s="16"/>
      <c r="AF45" s="18"/>
      <c r="AG45" s="18"/>
      <c r="AH45" s="15"/>
    </row>
    <row r="46" spans="1:34" x14ac:dyDescent="0.2">
      <c r="A46" s="5" t="str">
        <f>'Macro &amp; Importar'!A46</f>
        <v xml:space="preserve">1110481823014       </v>
      </c>
      <c r="B46" s="5" t="str">
        <f>'Macro &amp; Importar'!B46</f>
        <v>RENAN MORAN PASSOS DA SILVA</v>
      </c>
      <c r="C46" s="5">
        <f>'Macro &amp; Importar'!C46</f>
        <v>0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"/>
      <c r="Z46" s="2"/>
      <c r="AC46" s="5"/>
      <c r="AD46" s="16"/>
      <c r="AE46" s="16"/>
      <c r="AF46" s="18"/>
      <c r="AG46" s="18"/>
      <c r="AH46" s="5"/>
    </row>
    <row r="47" spans="1:34" x14ac:dyDescent="0.2">
      <c r="A47" s="5" t="str">
        <f>'Macro &amp; Importar'!A47</f>
        <v xml:space="preserve">1110481722036       </v>
      </c>
      <c r="B47" s="5" t="str">
        <f>'Macro &amp; Importar'!B47</f>
        <v>RENAN PARABRE SANTOS DE ABREU</v>
      </c>
      <c r="C47" s="5">
        <f>'Macro &amp; Importar'!C47</f>
        <v>0</v>
      </c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"/>
      <c r="Z47" s="2"/>
      <c r="AC47" s="5"/>
      <c r="AD47" s="16"/>
      <c r="AE47" s="16"/>
      <c r="AF47" s="18"/>
      <c r="AG47" s="18"/>
      <c r="AH47" s="2"/>
    </row>
    <row r="48" spans="1:34" x14ac:dyDescent="0.2">
      <c r="A48" s="5" t="str">
        <f>'Macro &amp; Importar'!A48</f>
        <v xml:space="preserve">1110481823031       </v>
      </c>
      <c r="B48" s="5" t="str">
        <f>'Macro &amp; Importar'!B48</f>
        <v>RENAN SARTO GREGORIO</v>
      </c>
      <c r="C48" s="5">
        <f>'Macro &amp; Importar'!C48</f>
        <v>0</v>
      </c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"/>
      <c r="Z48" s="2"/>
      <c r="AC48" s="5"/>
      <c r="AD48" s="16"/>
      <c r="AE48" s="16"/>
      <c r="AF48" s="18"/>
      <c r="AG48" s="18"/>
      <c r="AH48" s="5"/>
    </row>
    <row r="49" spans="1:34" x14ac:dyDescent="0.2">
      <c r="A49" s="5" t="str">
        <f>'Macro &amp; Importar'!A49</f>
        <v xml:space="preserve">1110481823040       </v>
      </c>
      <c r="B49" s="5" t="str">
        <f>'Macro &amp; Importar'!B49</f>
        <v>RENATA DOS SANTOS MALEK</v>
      </c>
      <c r="C49" s="5">
        <f>'Macro &amp; Importar'!C49</f>
        <v>0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"/>
      <c r="Z49" s="2"/>
      <c r="AC49" s="5"/>
      <c r="AD49" s="16"/>
      <c r="AE49" s="16"/>
      <c r="AF49" s="18"/>
      <c r="AG49" s="18"/>
      <c r="AH49" s="5"/>
    </row>
    <row r="50" spans="1:34" x14ac:dyDescent="0.2">
      <c r="A50" s="5" t="str">
        <f>'Macro &amp; Importar'!A50</f>
        <v xml:space="preserve">1110481823026       </v>
      </c>
      <c r="B50" s="5" t="str">
        <f>'Macro &amp; Importar'!B50</f>
        <v>ROBSON HENRIQUE FERREIRA</v>
      </c>
      <c r="C50" s="5">
        <f>'Macro &amp; Importar'!C50</f>
        <v>0</v>
      </c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"/>
      <c r="Z50" s="2"/>
      <c r="AC50" s="5"/>
      <c r="AD50" s="16"/>
      <c r="AE50" s="16"/>
      <c r="AF50" s="18"/>
      <c r="AG50" s="18"/>
    </row>
    <row r="51" spans="1:34" x14ac:dyDescent="0.2">
      <c r="A51" s="5" t="str">
        <f>'Macro &amp; Importar'!A51</f>
        <v xml:space="preserve">1110481823038       </v>
      </c>
      <c r="B51" s="5" t="str">
        <f>'Macro &amp; Importar'!B51</f>
        <v>ROMULO SANTANA SANTOS DA SILVA</v>
      </c>
      <c r="C51" s="5">
        <f>'Macro &amp; Importar'!C51</f>
        <v>0</v>
      </c>
    </row>
    <row r="52" spans="1:34" x14ac:dyDescent="0.2">
      <c r="A52" s="5" t="str">
        <f>'Macro &amp; Importar'!A52</f>
        <v xml:space="preserve">1110481823009       </v>
      </c>
      <c r="B52" s="5" t="str">
        <f>'Macro &amp; Importar'!B52</f>
        <v>STEFANO LIMA COSTA</v>
      </c>
      <c r="C52" s="5">
        <f>'Macro &amp; Importar'!C52</f>
        <v>0</v>
      </c>
    </row>
  </sheetData>
  <conditionalFormatting sqref="Z2:Z36">
    <cfRule type="cellIs" dxfId="4" priority="6" operator="greaterThan">
      <formula>20</formula>
    </cfRule>
  </conditionalFormatting>
  <conditionalFormatting sqref="AF2:AF36">
    <cfRule type="cellIs" dxfId="3" priority="3" operator="equal">
      <formula>"Reprovado"</formula>
    </cfRule>
    <cfRule type="cellIs" dxfId="2" priority="4" operator="equal">
      <formula>"Exame"</formula>
    </cfRule>
    <cfRule type="cellIs" dxfId="1" priority="5" operator="equal">
      <formula>"Aprovado"</formula>
    </cfRule>
  </conditionalFormatting>
  <conditionalFormatting sqref="Y2:Y36">
    <cfRule type="cellIs" dxfId="0" priority="1" operator="greaterThan">
      <formula>20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workbookViewId="0">
      <selection activeCell="B4" sqref="B4"/>
    </sheetView>
  </sheetViews>
  <sheetFormatPr defaultRowHeight="12.75" x14ac:dyDescent="0.2"/>
  <cols>
    <col min="1" max="1" width="13.85546875" bestFit="1" customWidth="1"/>
    <col min="2" max="2" width="27.140625" customWidth="1"/>
  </cols>
  <sheetData>
    <row r="1" spans="1:5" x14ac:dyDescent="0.2">
      <c r="A1" s="1" t="s">
        <v>46</v>
      </c>
    </row>
    <row r="2" spans="1:5" ht="13.5" thickBot="1" x14ac:dyDescent="0.25"/>
    <row r="3" spans="1:5" ht="16.5" thickBot="1" x14ac:dyDescent="0.3">
      <c r="A3" s="30" t="s">
        <v>4</v>
      </c>
      <c r="B3" s="31">
        <v>1522922</v>
      </c>
      <c r="E3" s="29" t="s">
        <v>47</v>
      </c>
    </row>
    <row r="4" spans="1:5" s="5" customFormat="1" x14ac:dyDescent="0.2">
      <c r="A4" s="22" t="s">
        <v>42</v>
      </c>
      <c r="B4" s="23" t="e">
        <f>VLOOKUP($B$3,TabGstDisc,2,0)</f>
        <v>#N/A</v>
      </c>
    </row>
    <row r="5" spans="1:5" x14ac:dyDescent="0.2">
      <c r="A5" s="24" t="s">
        <v>43</v>
      </c>
      <c r="B5" s="25" t="e">
        <f>VLOOKUP($B$3,TabGstDisc,25,0)</f>
        <v>#N/A</v>
      </c>
    </row>
    <row r="6" spans="1:5" x14ac:dyDescent="0.2">
      <c r="A6" s="24" t="s">
        <v>44</v>
      </c>
      <c r="B6" s="26" t="e">
        <f>VLOOKUP($B$3,TabGstDisc,29,0)</f>
        <v>#N/A</v>
      </c>
    </row>
    <row r="7" spans="1:5" ht="13.5" thickBot="1" x14ac:dyDescent="0.25">
      <c r="A7" s="27" t="s">
        <v>45</v>
      </c>
      <c r="B7" s="28" t="e">
        <f>VLOOKUP($B$3,TabGstDisc,31,0)</f>
        <v>#N/A</v>
      </c>
    </row>
  </sheetData>
  <dataValidations count="1">
    <dataValidation type="list" allowBlank="1" showInputMessage="1" showErrorMessage="1" sqref="B3">
      <formula1>MatdoAlu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2138A1-6705-4D29-9144-F2F253EACA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Base Dados</vt:lpstr>
      <vt:lpstr>Macro &amp; Importar</vt:lpstr>
      <vt:lpstr>Gest de Aulas</vt:lpstr>
      <vt:lpstr>PROCV, Rs Final</vt:lpstr>
      <vt:lpstr>MatdoAlu</vt:lpstr>
      <vt:lpstr>NmdeAlunos</vt:lpstr>
      <vt:lpstr>TabGstDisc</vt:lpstr>
    </vt:vector>
  </TitlesOfParts>
  <Company>Nextel Telecomunicações Ltda.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mteixei2</dc:creator>
  <cp:lastModifiedBy>Simone</cp:lastModifiedBy>
  <cp:lastPrinted>2009-06-27T10:12:58Z</cp:lastPrinted>
  <dcterms:created xsi:type="dcterms:W3CDTF">2008-06-06T22:11:07Z</dcterms:created>
  <dcterms:modified xsi:type="dcterms:W3CDTF">2018-09-11T00:35:33Z</dcterms:modified>
</cp:coreProperties>
</file>