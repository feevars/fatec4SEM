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360" yWindow="285" windowWidth="15600" windowHeight="8325" activeTab="7"/>
  </bookViews>
  <sheets>
    <sheet name="Ex 00" sheetId="6" r:id="rId1"/>
    <sheet name="Ex 01" sheetId="1" r:id="rId2"/>
    <sheet name="Ex 02" sheetId="2" r:id="rId3"/>
    <sheet name="Ex 03" sheetId="3" r:id="rId4"/>
    <sheet name="Ex 04" sheetId="4" r:id="rId5"/>
    <sheet name="Ex 05" sheetId="5" r:id="rId6"/>
    <sheet name="Ex 06" sheetId="7" r:id="rId7"/>
    <sheet name="Ex 07" sheetId="8" r:id="rId8"/>
    <sheet name="Extra" sheetId="9" r:id="rId9"/>
  </sheets>
  <definedNames>
    <definedName name="SalLiquido">Extra!$D$5:$D$15</definedName>
  </definedNames>
  <calcPr calcId="145621"/>
</workbook>
</file>

<file path=xl/calcChain.xml><?xml version="1.0" encoding="utf-8"?>
<calcChain xmlns="http://schemas.openxmlformats.org/spreadsheetml/2006/main">
  <c r="E8" i="8" l="1"/>
  <c r="E9" i="8"/>
  <c r="E10" i="8"/>
  <c r="E11" i="8"/>
  <c r="E12" i="8"/>
  <c r="E13" i="8"/>
  <c r="E7" i="8"/>
  <c r="D20" i="9" l="1"/>
  <c r="C20" i="9"/>
  <c r="D19" i="9"/>
  <c r="C19" i="9"/>
  <c r="D18" i="9"/>
  <c r="C18" i="9"/>
  <c r="D17" i="9"/>
  <c r="C17" i="9"/>
  <c r="D8" i="8"/>
  <c r="D9" i="8"/>
  <c r="D10" i="8"/>
  <c r="D11" i="8"/>
  <c r="D12" i="8"/>
  <c r="D13" i="8"/>
  <c r="D7" i="8"/>
  <c r="C22" i="7"/>
  <c r="D22" i="7"/>
  <c r="E22" i="7"/>
  <c r="F22" i="7"/>
  <c r="G22" i="7"/>
  <c r="B22" i="7"/>
  <c r="C20" i="7"/>
  <c r="D20" i="7"/>
  <c r="E20" i="7"/>
  <c r="F20" i="7"/>
  <c r="G20" i="7"/>
  <c r="B20" i="7"/>
  <c r="B14" i="5"/>
  <c r="B13" i="5"/>
  <c r="B12" i="5"/>
  <c r="J8" i="4"/>
  <c r="J9" i="4"/>
  <c r="J10" i="4"/>
  <c r="J11" i="4"/>
  <c r="J12" i="4"/>
  <c r="J7" i="4"/>
  <c r="G7" i="4"/>
  <c r="I7" i="4" s="1"/>
  <c r="I8" i="4"/>
  <c r="I9" i="4"/>
  <c r="I10" i="4"/>
  <c r="I11" i="4"/>
  <c r="I12" i="4"/>
  <c r="G8" i="4"/>
  <c r="G9" i="4"/>
  <c r="G10" i="4"/>
  <c r="G11" i="4"/>
  <c r="G12" i="4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6" i="3"/>
  <c r="G7" i="2"/>
  <c r="G9" i="2"/>
  <c r="G10" i="2"/>
  <c r="G11" i="2"/>
  <c r="G12" i="2"/>
  <c r="G13" i="2"/>
  <c r="G8" i="2"/>
  <c r="C10" i="1" l="1"/>
  <c r="D10" i="1"/>
  <c r="E10" i="1"/>
  <c r="F10" i="1"/>
  <c r="G10" i="1"/>
  <c r="H10" i="1"/>
  <c r="B10" i="1"/>
  <c r="H9" i="1"/>
  <c r="H8" i="1"/>
  <c r="E4" i="6"/>
  <c r="D15" i="9" l="1"/>
  <c r="D14" i="9"/>
  <c r="D13" i="9"/>
  <c r="D12" i="9"/>
  <c r="D11" i="9"/>
  <c r="D10" i="9"/>
  <c r="D9" i="9"/>
  <c r="D8" i="9"/>
  <c r="D7" i="9"/>
  <c r="D6" i="9"/>
  <c r="D5" i="9"/>
  <c r="F4" i="6" l="1"/>
  <c r="D4" i="6"/>
  <c r="C4" i="6"/>
  <c r="B6" i="6" s="1"/>
  <c r="B4" i="6"/>
  <c r="E12" i="4"/>
  <c r="E11" i="4"/>
  <c r="E10" i="4"/>
  <c r="E9" i="4"/>
  <c r="E8" i="4"/>
  <c r="E7" i="4"/>
  <c r="C6" i="6" l="1"/>
  <c r="F7" i="5" l="1"/>
  <c r="F8" i="5"/>
  <c r="F10" i="5"/>
  <c r="F9" i="5"/>
  <c r="C7" i="5"/>
  <c r="H7" i="5" s="1"/>
  <c r="C8" i="5"/>
  <c r="C9" i="5"/>
  <c r="C10" i="5"/>
  <c r="H10" i="5" s="1"/>
  <c r="H8" i="5" l="1"/>
  <c r="H9" i="5"/>
</calcChain>
</file>

<file path=xl/sharedStrings.xml><?xml version="1.0" encoding="utf-8"?>
<sst xmlns="http://schemas.openxmlformats.org/spreadsheetml/2006/main" count="248" uniqueCount="196">
  <si>
    <t>Projeção de Receitas e Despesas</t>
  </si>
  <si>
    <t>Primeiro Semestre de 2008</t>
  </si>
  <si>
    <t>Receitas</t>
  </si>
  <si>
    <t>Despesas</t>
  </si>
  <si>
    <t>Resultados</t>
  </si>
  <si>
    <t>Jan</t>
  </si>
  <si>
    <t>Fev</t>
  </si>
  <si>
    <t>Mar</t>
  </si>
  <si>
    <t>Abr</t>
  </si>
  <si>
    <t>Mai</t>
  </si>
  <si>
    <t>Jun</t>
  </si>
  <si>
    <t>Acumulado</t>
  </si>
  <si>
    <t xml:space="preserve"> </t>
  </si>
  <si>
    <t>Avaliação de Alunos</t>
  </si>
  <si>
    <t>Nomes</t>
  </si>
  <si>
    <t>Prova A</t>
  </si>
  <si>
    <t xml:space="preserve"> Prova B</t>
  </si>
  <si>
    <t>Prova C</t>
  </si>
  <si>
    <t>Prova D</t>
  </si>
  <si>
    <t>Prova E</t>
  </si>
  <si>
    <t>Média</t>
  </si>
  <si>
    <t>N1</t>
  </si>
  <si>
    <t>N2</t>
  </si>
  <si>
    <t>N3</t>
  </si>
  <si>
    <t>N4</t>
  </si>
  <si>
    <t>N5</t>
  </si>
  <si>
    <t>N6</t>
  </si>
  <si>
    <t>N7</t>
  </si>
  <si>
    <t>Está certo? Não...acertar;</t>
  </si>
  <si>
    <t>Repetir para as demais;</t>
  </si>
  <si>
    <t>Nome do Funcionário</t>
  </si>
  <si>
    <t>SEÇÃO</t>
  </si>
  <si>
    <t>SAL. BRUTO</t>
  </si>
  <si>
    <t>INSS</t>
  </si>
  <si>
    <t>IRPF</t>
  </si>
  <si>
    <t>SIND.</t>
  </si>
  <si>
    <t>LÍQ.</t>
  </si>
  <si>
    <t>Alexander Feuer</t>
  </si>
  <si>
    <t>ADM</t>
  </si>
  <si>
    <t>André Fonseca</t>
  </si>
  <si>
    <t>Hanna Moos</t>
  </si>
  <si>
    <t>Henriette Pfalzheim</t>
  </si>
  <si>
    <t>Pascale Cartrain</t>
  </si>
  <si>
    <t>Philip Cramer</t>
  </si>
  <si>
    <t>Catherine Dewey</t>
  </si>
  <si>
    <t>CONTAB</t>
  </si>
  <si>
    <t>Georg Pipps</t>
  </si>
  <si>
    <t>Horst Kloss</t>
  </si>
  <si>
    <t>Patricio Simpson</t>
  </si>
  <si>
    <t>Peter Franken</t>
  </si>
  <si>
    <t>Rita Müller</t>
  </si>
  <si>
    <t>Sven Ottlieb</t>
  </si>
  <si>
    <t>Karina Josephs</t>
  </si>
  <si>
    <t>FINAN</t>
  </si>
  <si>
    <t>Maria Anders</t>
  </si>
  <si>
    <t>Renate Messner</t>
  </si>
  <si>
    <t>Roland Mendel</t>
  </si>
  <si>
    <t>Sergio Gutiérrez</t>
  </si>
  <si>
    <t>Yvonne Moncada</t>
  </si>
  <si>
    <t>Instruções</t>
  </si>
  <si>
    <t>1) Multiplicar o SIND por 3% sobre o salário bruto;</t>
  </si>
  <si>
    <t>FOLHA DE PAGAMENTO</t>
  </si>
  <si>
    <t>Empresa X</t>
  </si>
  <si>
    <t>2) Cálcular o Salário Líquido (LIQ), conforme abaixo:</t>
  </si>
  <si>
    <t>Liq = Sal.Bruto - INSS - IRPF - SIND</t>
  </si>
  <si>
    <t>CONTROLE DE DESCONTOS DO 1º TRIMESTRE</t>
  </si>
  <si>
    <t>Produtos</t>
  </si>
  <si>
    <t>Janeiro</t>
  </si>
  <si>
    <t>Fever</t>
  </si>
  <si>
    <t>Março</t>
  </si>
  <si>
    <t>Quant/Total</t>
  </si>
  <si>
    <t>Preço Unit</t>
  </si>
  <si>
    <t>Preço Total</t>
  </si>
  <si>
    <t>Descontos</t>
  </si>
  <si>
    <t>Valor Desc</t>
  </si>
  <si>
    <t>Tot. Geral</t>
  </si>
  <si>
    <t>impressora</t>
  </si>
  <si>
    <t>Placa de som</t>
  </si>
  <si>
    <t>Mouse</t>
  </si>
  <si>
    <t>Disquete 3,5"</t>
  </si>
  <si>
    <t>Monitor SVGA</t>
  </si>
  <si>
    <t>Teclado</t>
  </si>
  <si>
    <t>Preencher?</t>
  </si>
  <si>
    <t>Folha de Pagamento</t>
  </si>
  <si>
    <t>Funcionário</t>
  </si>
  <si>
    <t>Salário Bruto</t>
  </si>
  <si>
    <t>Vale Transporte</t>
  </si>
  <si>
    <t>13º Salário</t>
  </si>
  <si>
    <t>Cesta Básica</t>
  </si>
  <si>
    <t>Abono</t>
  </si>
  <si>
    <t>Vale Refeição</t>
  </si>
  <si>
    <t>Salário Líquido</t>
  </si>
  <si>
    <t>Léo Lima</t>
  </si>
  <si>
    <t>Diego Souza</t>
  </si>
  <si>
    <t>Alemão</t>
  </si>
  <si>
    <t>Marcos</t>
  </si>
  <si>
    <t>&lt;=== Preencher</t>
  </si>
  <si>
    <t>Preencher o item resultados ?</t>
  </si>
  <si>
    <t>Exercício 03 - Usar fórmulas</t>
  </si>
  <si>
    <t>Exercício 02 - Usar Formulas</t>
  </si>
  <si>
    <t>Exercício 01 - Usar Formulas</t>
  </si>
  <si>
    <t>Exercicio 04 - Usar Formulas</t>
  </si>
  <si>
    <t>Exercício 05 - Usar Formulas</t>
  </si>
  <si>
    <t>Exemplos de fórmulas,</t>
  </si>
  <si>
    <t>1) Exercitem??? - Usar a criatividade;</t>
  </si>
  <si>
    <t>etc...</t>
  </si>
  <si>
    <t>SINAL</t>
  </si>
  <si>
    <t>FUNÇÃO</t>
  </si>
  <si>
    <t>+</t>
  </si>
  <si>
    <t>SOMAR</t>
  </si>
  <si>
    <t>&gt; </t>
  </si>
  <si>
    <t>MAIOR QUE</t>
  </si>
  <si>
    <t xml:space="preserve">- </t>
  </si>
  <si>
    <t>SUBTRAÇÃO</t>
  </si>
  <si>
    <t>&lt; </t>
  </si>
  <si>
    <t xml:space="preserve">MENOR QUE </t>
  </si>
  <si>
    <t>*</t>
  </si>
  <si>
    <t xml:space="preserve">MULTIPLICAÇÃO </t>
  </si>
  <si>
    <t>&lt;&gt; </t>
  </si>
  <si>
    <t xml:space="preserve">DIFERENTE QUE </t>
  </si>
  <si>
    <t>/</t>
  </si>
  <si>
    <t xml:space="preserve">DIVISÃO </t>
  </si>
  <si>
    <t>&gt;=</t>
  </si>
  <si>
    <t>MAIOR E IGUAL A</t>
  </si>
  <si>
    <t>%</t>
  </si>
  <si>
    <t>PORCENTAGEM</t>
  </si>
  <si>
    <t>&lt;=</t>
  </si>
  <si>
    <t>MENOR E IGUAL A</t>
  </si>
  <si>
    <t>=</t>
  </si>
  <si>
    <t>IGUALDADE</t>
  </si>
  <si>
    <t>IGUAL A</t>
  </si>
  <si>
    <t>JANEIRO</t>
  </si>
  <si>
    <t>FEVEREIRO</t>
  </si>
  <si>
    <t>MARÇO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</si>
  <si>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</si>
  <si>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</si>
  <si>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</si>
  <si>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</si>
  <si>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</si>
  <si>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</si>
  <si>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</si>
  <si>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</si>
  <si>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</si>
  <si>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</si>
  <si>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</si>
  <si>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</si>
  <si>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</si>
  <si>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</si>
  <si>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Gestão do Orçamento</t>
  </si>
  <si>
    <t>Exercicio 06 - Usar Formulas</t>
  </si>
  <si>
    <t>Valor do Dólar</t>
  </si>
  <si>
    <t>Papelaria Papel Branco</t>
  </si>
  <si>
    <t>Qtde</t>
  </si>
  <si>
    <t>Preço Unit.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</si>
  <si>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</si>
  <si>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</si>
  <si>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</si>
  <si>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</si>
  <si>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</si>
  <si>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</si>
  <si>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</si>
  <si>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</si>
  <si>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</si>
  <si>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r>
      <t>Total R$:</t>
    </r>
    <r>
      <rPr>
        <sz val="12"/>
        <color rgb="FF000000"/>
        <rFont val="Times New Roman"/>
        <family val="1"/>
      </rPr>
      <t xml:space="preserve"> multiplicar Qtde por Preço Unitário</t>
    </r>
  </si>
  <si>
    <t>Exercicio 07 - Usar Formulas</t>
  </si>
  <si>
    <t>Calculos?</t>
  </si>
  <si>
    <t>1) Somar o total de contas</t>
  </si>
  <si>
    <t>SALDO FINAL</t>
  </si>
  <si>
    <t>1) Verificar se existe algum item desconhecido na tabela? Se sim, assinale qual?</t>
  </si>
  <si>
    <t>3) Quem tiver sugestões? Passar para o Prof e Grupos?</t>
  </si>
  <si>
    <t>SAL.LIQUIDO</t>
  </si>
  <si>
    <t>Data de Admissão</t>
  </si>
  <si>
    <t xml:space="preserve">A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</si>
  <si>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</si>
  <si>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</si>
  <si>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</si>
  <si>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</si>
  <si>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</si>
  <si>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</si>
  <si>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</si>
  <si>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</si>
  <si>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</si>
  <si>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</si>
  <si>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Total de Salários, Seção, CONTAB</t>
  </si>
  <si>
    <t>Total de Salários, Seção, ADM</t>
  </si>
  <si>
    <t>Idem</t>
  </si>
  <si>
    <t>Média de Salários, Seção, ADM</t>
  </si>
  <si>
    <t>Média de Salários, Seção, CONTAB</t>
  </si>
  <si>
    <r>
      <t>Total US$:</t>
    </r>
    <r>
      <rPr>
        <sz val="12"/>
        <color rgb="FF000000"/>
        <rFont val="Times New Roman"/>
        <family val="1"/>
      </rPr>
      <t xml:space="preserve"> dividir ou multiplicar ? Total R$ por Valor do Dólar – usar $ nas fórmulas</t>
    </r>
  </si>
  <si>
    <t>Média Salárial Bruto</t>
  </si>
  <si>
    <t>Maior Salário Bruto</t>
  </si>
  <si>
    <t>Menor Salário Bruto</t>
  </si>
  <si>
    <t>Calcular? Algebricamente, mas existem outras formas que vamos ver nas próximas aulas;</t>
  </si>
  <si>
    <t>2) Obter o saldo final? SALÁRIO - CONTAS</t>
  </si>
  <si>
    <t>2) Existem diversas formas de avaliar esta solicitação?  Usar recurso visual apenas, e ...</t>
  </si>
  <si>
    <t>Dólar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</si>
</sst>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&quot;R$ &quot;#,##0.00_);[Red]\(&quot;R$ &quot;#,##0.00\)"/>
    <numFmt numFmtId="166" formatCode="0.00_ ;\-0.00\ "/>
    <numFmt numFmtId="167" formatCode="&quot;R$&quot;#,##0.00"/>
    <numFmt numFmtId="168" formatCode="#,##0.00;[Red]#,##0.00"/>
  </numFmts>
  <fonts count="3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MS Sans Serif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u/>
      <sz val="11"/>
      <color rgb="FF00B05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7030A0"/>
      <name val="Arial"/>
      <family val="2"/>
    </font>
    <font>
      <b/>
      <sz val="8"/>
      <color rgb="FF00B050"/>
      <name val="Arial"/>
      <family val="2"/>
    </font>
    <font>
      <u/>
      <sz val="8"/>
      <name val="Arial"/>
      <family val="2"/>
    </font>
    <font>
      <sz val="10"/>
      <color rgb="FF0070C0"/>
      <name val="Arial"/>
      <family val="2"/>
    </font>
    <font>
      <b/>
      <sz val="10"/>
      <color rgb="FF00B05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36"/>
      <color rgb="FF212121"/>
      <name val="Arial"/>
      <family val="2"/>
    </font>
    <font>
      <u/>
      <sz val="10"/>
      <color rgb="FF000000"/>
      <name val="Arial"/>
      <family val="2"/>
    </font>
    <font>
      <b/>
      <u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5">
    <xf numFmtId="0" fontId="0" fillId="0" borderId="0"/>
    <xf numFmtId="164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90">
    <xf numFmtId="0" fontId="0" fillId="0" borderId="0" xfId="0"/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" fillId="0" borderId="0" xfId="0" applyFont="1"/>
    <xf numFmtId="0" fontId="3" fillId="2" borderId="0" xfId="2" applyFont="1" applyFill="1" applyBorder="1" applyAlignment="1">
      <alignment horizontal="center"/>
    </xf>
    <xf numFmtId="0" fontId="3" fillId="2" borderId="0" xfId="0" applyFont="1" applyFill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7" fontId="7" fillId="0" borderId="5" xfId="1" applyNumberFormat="1" applyFont="1" applyBorder="1"/>
    <xf numFmtId="164" fontId="7" fillId="0" borderId="5" xfId="1" applyFont="1" applyBorder="1"/>
    <xf numFmtId="9" fontId="0" fillId="0" borderId="5" xfId="0" applyNumberFormat="1" applyBorder="1"/>
    <xf numFmtId="9" fontId="0" fillId="0" borderId="0" xfId="0" applyNumberFormat="1"/>
    <xf numFmtId="0" fontId="0" fillId="0" borderId="0" xfId="0" applyAlignment="1">
      <alignment horizontal="center" vertical="center" wrapText="1"/>
    </xf>
    <xf numFmtId="164" fontId="7" fillId="0" borderId="0" xfId="1" applyFont="1"/>
    <xf numFmtId="0" fontId="11" fillId="0" borderId="0" xfId="0" applyFont="1"/>
    <xf numFmtId="0" fontId="12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9" xfId="0" applyFont="1" applyBorder="1" applyAlignment="1">
      <alignment horizontal="justify" vertical="top" wrapText="1"/>
    </xf>
    <xf numFmtId="0" fontId="5" fillId="0" borderId="10" xfId="0" applyFont="1" applyBorder="1" applyAlignment="1">
      <alignment horizontal="justify" vertical="top" wrapText="1"/>
    </xf>
    <xf numFmtId="0" fontId="1" fillId="0" borderId="11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justify" vertical="top" wrapText="1"/>
    </xf>
    <xf numFmtId="0" fontId="13" fillId="0" borderId="2" xfId="0" applyFont="1" applyBorder="1" applyAlignment="1">
      <alignment horizontal="right" vertical="top" wrapText="1"/>
    </xf>
    <xf numFmtId="0" fontId="13" fillId="0" borderId="16" xfId="0" applyFont="1" applyBorder="1" applyAlignment="1">
      <alignment horizontal="right" vertical="top" wrapText="1"/>
    </xf>
    <xf numFmtId="0" fontId="13" fillId="0" borderId="12" xfId="0" applyFont="1" applyBorder="1" applyAlignment="1">
      <alignment vertical="top" wrapText="1"/>
    </xf>
    <xf numFmtId="0" fontId="13" fillId="0" borderId="17" xfId="0" applyFont="1" applyBorder="1" applyAlignment="1">
      <alignment vertical="top" wrapText="1"/>
    </xf>
    <xf numFmtId="0" fontId="13" fillId="0" borderId="18" xfId="0" applyFont="1" applyBorder="1" applyAlignment="1">
      <alignment vertical="top" wrapText="1"/>
    </xf>
    <xf numFmtId="165" fontId="13" fillId="0" borderId="19" xfId="0" applyNumberFormat="1" applyFont="1" applyBorder="1" applyAlignment="1">
      <alignment horizontal="right" vertical="top" wrapText="1"/>
    </xf>
    <xf numFmtId="165" fontId="13" fillId="0" borderId="3" xfId="0" applyNumberFormat="1" applyFont="1" applyBorder="1" applyAlignment="1">
      <alignment horizontal="right" vertical="top" wrapText="1"/>
    </xf>
    <xf numFmtId="0" fontId="13" fillId="0" borderId="16" xfId="0" applyFont="1" applyBorder="1" applyAlignment="1">
      <alignment vertical="top" wrapText="1"/>
    </xf>
    <xf numFmtId="0" fontId="13" fillId="0" borderId="12" xfId="0" applyFont="1" applyBorder="1" applyAlignment="1">
      <alignment horizontal="right" vertical="top" wrapText="1"/>
    </xf>
    <xf numFmtId="0" fontId="13" fillId="0" borderId="17" xfId="0" applyFont="1" applyBorder="1" applyAlignment="1">
      <alignment horizontal="right" vertical="top" wrapText="1"/>
    </xf>
    <xf numFmtId="165" fontId="13" fillId="0" borderId="12" xfId="0" applyNumberFormat="1" applyFont="1" applyBorder="1" applyAlignment="1">
      <alignment horizontal="right" vertical="top" wrapText="1"/>
    </xf>
    <xf numFmtId="165" fontId="13" fillId="0" borderId="17" xfId="0" applyNumberFormat="1" applyFont="1" applyBorder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0" xfId="0" applyFont="1" applyAlignment="1">
      <alignment horizontal="right" vertical="top" wrapText="1"/>
    </xf>
    <xf numFmtId="0" fontId="15" fillId="0" borderId="0" xfId="0" applyFont="1" applyAlignment="1">
      <alignment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5" xfId="0" applyFont="1" applyBorder="1" applyAlignment="1">
      <alignment vertical="top" wrapText="1"/>
    </xf>
    <xf numFmtId="0" fontId="13" fillId="0" borderId="5" xfId="0" applyFont="1" applyBorder="1" applyAlignment="1">
      <alignment horizontal="right" vertical="top" wrapText="1"/>
    </xf>
    <xf numFmtId="165" fontId="13" fillId="0" borderId="5" xfId="0" applyNumberFormat="1" applyFont="1" applyBorder="1" applyAlignment="1">
      <alignment horizontal="right" vertical="top" wrapText="1"/>
    </xf>
    <xf numFmtId="0" fontId="16" fillId="0" borderId="0" xfId="0" applyFont="1" applyFill="1" applyBorder="1"/>
    <xf numFmtId="0" fontId="17" fillId="4" borderId="0" xfId="0" applyFont="1" applyFill="1" applyBorder="1"/>
    <xf numFmtId="0" fontId="16" fillId="0" borderId="0" xfId="0" applyFont="1" applyFill="1"/>
    <xf numFmtId="0" fontId="18" fillId="0" borderId="0" xfId="0" applyFont="1"/>
    <xf numFmtId="0" fontId="19" fillId="0" borderId="0" xfId="2" applyFont="1" applyFill="1" applyBorder="1" applyAlignment="1">
      <alignment horizontal="left" wrapText="1"/>
    </xf>
    <xf numFmtId="0" fontId="19" fillId="0" borderId="0" xfId="0" applyFont="1" applyFill="1"/>
    <xf numFmtId="0" fontId="19" fillId="0" borderId="0" xfId="0" applyNumberFormat="1" applyFont="1" applyFill="1"/>
    <xf numFmtId="0" fontId="3" fillId="0" borderId="0" xfId="0" applyNumberFormat="1" applyFont="1" applyFill="1"/>
    <xf numFmtId="166" fontId="19" fillId="0" borderId="0" xfId="1" applyNumberFormat="1" applyFont="1" applyFill="1" applyAlignment="1">
      <alignment horizontal="center"/>
    </xf>
    <xf numFmtId="14" fontId="19" fillId="0" borderId="0" xfId="0" applyNumberFormat="1" applyFont="1" applyFill="1"/>
    <xf numFmtId="0" fontId="4" fillId="0" borderId="0" xfId="0" applyNumberFormat="1" applyFont="1"/>
    <xf numFmtId="0" fontId="20" fillId="0" borderId="0" xfId="0" applyNumberFormat="1" applyFont="1"/>
    <xf numFmtId="0" fontId="4" fillId="0" borderId="0" xfId="3" applyNumberFormat="1" applyFont="1"/>
    <xf numFmtId="0" fontId="4" fillId="0" borderId="0" xfId="4" applyNumberFormat="1" applyFont="1"/>
    <xf numFmtId="167" fontId="4" fillId="0" borderId="0" xfId="0" applyNumberFormat="1" applyFont="1"/>
    <xf numFmtId="168" fontId="13" fillId="0" borderId="5" xfId="0" applyNumberFormat="1" applyFont="1" applyBorder="1" applyAlignment="1">
      <alignment horizontal="right" vertical="top" wrapText="1"/>
    </xf>
    <xf numFmtId="0" fontId="22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164" fontId="11" fillId="0" borderId="5" xfId="0" applyNumberFormat="1" applyFont="1" applyBorder="1"/>
    <xf numFmtId="164" fontId="27" fillId="0" borderId="5" xfId="0" applyNumberFormat="1" applyFont="1" applyBorder="1"/>
    <xf numFmtId="164" fontId="28" fillId="0" borderId="5" xfId="0" applyNumberFormat="1" applyFont="1" applyBorder="1"/>
    <xf numFmtId="164" fontId="29" fillId="0" borderId="0" xfId="0" applyNumberFormat="1" applyFont="1"/>
    <xf numFmtId="164" fontId="30" fillId="0" borderId="0" xfId="0" applyNumberFormat="1" applyFont="1"/>
    <xf numFmtId="164" fontId="31" fillId="0" borderId="0" xfId="0" applyNumberFormat="1" applyFont="1"/>
    <xf numFmtId="168" fontId="13" fillId="0" borderId="19" xfId="0" applyNumberFormat="1" applyFont="1" applyBorder="1" applyAlignment="1">
      <alignment horizontal="right" vertical="top" wrapText="1"/>
    </xf>
    <xf numFmtId="0" fontId="32" fillId="0" borderId="0" xfId="0" applyFont="1"/>
    <xf numFmtId="0" fontId="33" fillId="0" borderId="5" xfId="0" applyFont="1" applyBorder="1" applyAlignment="1">
      <alignment horizontal="right" vertical="top" wrapText="1"/>
    </xf>
    <xf numFmtId="166" fontId="21" fillId="0" borderId="0" xfId="0" applyNumberFormat="1" applyFont="1" applyAlignment="1">
      <alignment horizontal="right"/>
    </xf>
    <xf numFmtId="166" fontId="34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3" fillId="0" borderId="5" xfId="0" applyFont="1" applyBorder="1" applyAlignment="1">
      <alignment horizontal="center" vertical="top" wrapText="1"/>
    </xf>
    <xf numFmtId="0" fontId="33" fillId="0" borderId="0" xfId="0" applyFont="1" applyAlignment="1">
      <alignment horizontal="right" vertical="top" wrapText="1"/>
    </xf>
  </cellXfs>
  <cellStyles count="5">
    <cellStyle name="Moeda" xfId="1" builtinId="4"/>
    <cellStyle name="Normal" xfId="0" builtinId="0"/>
    <cellStyle name="Normal_Ex_2" xfId="2"/>
    <cellStyle name="Porcentagem" xfId="4" builtinId="5"/>
    <cellStyle name="Vírgula" xfId="3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H17"/>
  <sheetViews>
    <sheetView topLeftCell="A7" workbookViewId="0">
      <selection activeCell="D6" sqref="D6"/>
    </sheetView>
  </sheetViews>
  <sheetFormatPr defaultRowHeight="15" x14ac:dyDescent="0.25"/>
  <cols>
    <col min="1" max="1" width="3.28515625" customWidth="1"/>
  </cols>
  <sheetData>
    <row r="1" spans="2:8" ht="15.75" x14ac:dyDescent="0.25">
      <c r="B1" s="20" t="s">
        <v>103</v>
      </c>
      <c r="H1" s="21" t="s">
        <v>104</v>
      </c>
    </row>
    <row r="3" spans="2:8" x14ac:dyDescent="0.25">
      <c r="B3" s="21" t="s">
        <v>12</v>
      </c>
      <c r="D3" s="21" t="s">
        <v>12</v>
      </c>
    </row>
    <row r="4" spans="2:8" x14ac:dyDescent="0.25">
      <c r="B4">
        <f>5-1</f>
        <v>4</v>
      </c>
      <c r="C4">
        <f>3^2</f>
        <v>9</v>
      </c>
      <c r="D4">
        <f>3*2</f>
        <v>6</v>
      </c>
      <c r="E4">
        <f>(5*2)/3</f>
        <v>3.3333333333333335</v>
      </c>
      <c r="F4" s="21">
        <f>5*2/3</f>
        <v>3.3333333333333335</v>
      </c>
    </row>
    <row r="6" spans="2:8" x14ac:dyDescent="0.25">
      <c r="B6">
        <f>B4+C4</f>
        <v>13</v>
      </c>
      <c r="C6">
        <f>C4*10</f>
        <v>90</v>
      </c>
      <c r="D6" s="22" t="s">
        <v>105</v>
      </c>
    </row>
    <row r="10" spans="2:8" ht="15.75" thickBot="1" x14ac:dyDescent="0.3"/>
    <row r="11" spans="2:8" ht="15.75" thickBot="1" x14ac:dyDescent="0.3">
      <c r="B11" s="23" t="s">
        <v>106</v>
      </c>
      <c r="C11" s="24" t="s">
        <v>107</v>
      </c>
      <c r="D11" s="23" t="s">
        <v>106</v>
      </c>
      <c r="E11" s="24" t="s">
        <v>107</v>
      </c>
    </row>
    <row r="12" spans="2:8" ht="26.25" thickBot="1" x14ac:dyDescent="0.3">
      <c r="B12" s="25" t="s">
        <v>108</v>
      </c>
      <c r="C12" s="26" t="s">
        <v>109</v>
      </c>
      <c r="D12" s="25" t="s">
        <v>110</v>
      </c>
      <c r="E12" s="26" t="s">
        <v>111</v>
      </c>
    </row>
    <row r="13" spans="2:8" ht="26.25" thickBot="1" x14ac:dyDescent="0.3">
      <c r="B13" s="25" t="s">
        <v>112</v>
      </c>
      <c r="C13" s="26" t="s">
        <v>113</v>
      </c>
      <c r="D13" s="25" t="s">
        <v>114</v>
      </c>
      <c r="E13" s="26" t="s">
        <v>115</v>
      </c>
    </row>
    <row r="14" spans="2:8" ht="26.25" thickBot="1" x14ac:dyDescent="0.3">
      <c r="B14" s="25" t="s">
        <v>116</v>
      </c>
      <c r="C14" s="26" t="s">
        <v>117</v>
      </c>
      <c r="D14" s="25" t="s">
        <v>118</v>
      </c>
      <c r="E14" s="26" t="s">
        <v>119</v>
      </c>
    </row>
    <row r="15" spans="2:8" ht="26.25" thickBot="1" x14ac:dyDescent="0.3">
      <c r="B15" s="25" t="s">
        <v>120</v>
      </c>
      <c r="C15" s="26" t="s">
        <v>121</v>
      </c>
      <c r="D15" s="25" t="s">
        <v>122</v>
      </c>
      <c r="E15" s="26" t="s">
        <v>123</v>
      </c>
    </row>
    <row r="16" spans="2:8" ht="39" thickBot="1" x14ac:dyDescent="0.3">
      <c r="B16" s="25" t="s">
        <v>124</v>
      </c>
      <c r="C16" s="26" t="s">
        <v>125</v>
      </c>
      <c r="D16" s="25" t="s">
        <v>126</v>
      </c>
      <c r="E16" s="26" t="s">
        <v>127</v>
      </c>
    </row>
    <row r="17" spans="2:5" ht="26.25" thickBot="1" x14ac:dyDescent="0.3">
      <c r="B17" s="25" t="s">
        <v>128</v>
      </c>
      <c r="C17" s="26" t="s">
        <v>129</v>
      </c>
      <c r="D17" s="25" t="s">
        <v>128</v>
      </c>
      <c r="E17" s="26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1"/>
  <sheetViews>
    <sheetView workbookViewId="0">
      <selection activeCell="H10" sqref="B10:H10"/>
    </sheetView>
  </sheetViews>
  <sheetFormatPr defaultRowHeight="15" x14ac:dyDescent="0.25"/>
  <cols>
    <col min="1" max="1" width="11.5703125" customWidth="1"/>
    <col min="8" max="8" width="11" bestFit="1" customWidth="1"/>
  </cols>
  <sheetData>
    <row r="1" spans="1:9" x14ac:dyDescent="0.25">
      <c r="A1" s="1" t="s">
        <v>100</v>
      </c>
    </row>
    <row r="3" spans="1:9" x14ac:dyDescent="0.25">
      <c r="A3" t="s">
        <v>0</v>
      </c>
    </row>
    <row r="5" spans="1:9" x14ac:dyDescent="0.25">
      <c r="A5" t="s">
        <v>1</v>
      </c>
    </row>
    <row r="7" spans="1:9" x14ac:dyDescent="0.25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9" x14ac:dyDescent="0.25">
      <c r="A8" t="s">
        <v>2</v>
      </c>
      <c r="B8">
        <v>2100</v>
      </c>
      <c r="C8">
        <v>1800</v>
      </c>
      <c r="D8">
        <v>2300</v>
      </c>
      <c r="E8">
        <v>3100</v>
      </c>
      <c r="F8">
        <v>2700</v>
      </c>
      <c r="G8">
        <v>1600</v>
      </c>
      <c r="H8" s="2">
        <f>SUM(B8:G8)</f>
        <v>13600</v>
      </c>
      <c r="I8" s="2" t="s">
        <v>96</v>
      </c>
    </row>
    <row r="9" spans="1:9" x14ac:dyDescent="0.25">
      <c r="A9" t="s">
        <v>3</v>
      </c>
      <c r="B9">
        <v>1500</v>
      </c>
      <c r="C9">
        <v>1600</v>
      </c>
      <c r="D9">
        <v>1800</v>
      </c>
      <c r="E9">
        <v>2700</v>
      </c>
      <c r="F9">
        <v>2300</v>
      </c>
      <c r="G9">
        <v>1400</v>
      </c>
      <c r="H9">
        <f>SUM(B9:G9)</f>
        <v>11300</v>
      </c>
      <c r="I9" s="2" t="s">
        <v>96</v>
      </c>
    </row>
    <row r="10" spans="1:9" x14ac:dyDescent="0.25">
      <c r="A10" t="s">
        <v>4</v>
      </c>
      <c r="B10" s="62" t="str">
        <f>IMSUB(B8,B9)</f>
        <v>600</v>
      </c>
      <c r="C10" s="62" t="str">
        <f t="shared" ref="C10:H10" si="0">IMSUB(C8,C9)</f>
        <v>200</v>
      </c>
      <c r="D10" s="62" t="str">
        <f t="shared" si="0"/>
        <v>500</v>
      </c>
      <c r="E10" s="62" t="str">
        <f t="shared" si="0"/>
        <v>400</v>
      </c>
      <c r="F10" s="62" t="str">
        <f t="shared" si="0"/>
        <v>400</v>
      </c>
      <c r="G10" s="62" t="str">
        <f t="shared" si="0"/>
        <v>200</v>
      </c>
      <c r="H10" s="62" t="str">
        <f t="shared" si="0"/>
        <v>2300</v>
      </c>
    </row>
    <row r="11" spans="1:9" x14ac:dyDescent="0.25">
      <c r="B11" s="78" t="s">
        <v>97</v>
      </c>
      <c r="C11" s="78"/>
      <c r="D11" s="78"/>
      <c r="E11" s="78"/>
      <c r="F11" s="78"/>
      <c r="G11" s="78"/>
    </row>
  </sheetData>
  <mergeCells count="1">
    <mergeCell ref="B11:G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3"/>
  <sheetViews>
    <sheetView workbookViewId="0">
      <selection activeCell="K11" sqref="K11"/>
    </sheetView>
  </sheetViews>
  <sheetFormatPr defaultRowHeight="15" x14ac:dyDescent="0.25"/>
  <sheetData>
    <row r="1" spans="1:11" x14ac:dyDescent="0.25">
      <c r="A1" s="1" t="s">
        <v>99</v>
      </c>
    </row>
    <row r="3" spans="1:11" x14ac:dyDescent="0.25">
      <c r="A3" t="s">
        <v>13</v>
      </c>
    </row>
    <row r="5" spans="1:11" x14ac:dyDescent="0.25">
      <c r="A5" s="3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s="3" t="s">
        <v>20</v>
      </c>
      <c r="H5" s="3"/>
      <c r="I5" s="3"/>
    </row>
    <row r="7" spans="1:11" x14ac:dyDescent="0.25">
      <c r="A7" t="s">
        <v>21</v>
      </c>
      <c r="B7">
        <v>4.5</v>
      </c>
      <c r="C7">
        <v>3.2</v>
      </c>
      <c r="D7">
        <v>6.7</v>
      </c>
      <c r="E7">
        <v>4.5</v>
      </c>
      <c r="F7">
        <v>4.8</v>
      </c>
      <c r="G7">
        <f>AVERAGE(B7:F7)</f>
        <v>4.74</v>
      </c>
      <c r="H7" t="s">
        <v>12</v>
      </c>
      <c r="I7" t="s">
        <v>12</v>
      </c>
      <c r="J7" s="2" t="s">
        <v>28</v>
      </c>
    </row>
    <row r="8" spans="1:11" x14ac:dyDescent="0.25">
      <c r="A8" t="s">
        <v>22</v>
      </c>
      <c r="B8">
        <v>5.7</v>
      </c>
      <c r="C8">
        <v>5.5</v>
      </c>
      <c r="D8">
        <v>8.1</v>
      </c>
      <c r="E8">
        <v>6.5</v>
      </c>
      <c r="F8">
        <v>5.7</v>
      </c>
      <c r="G8">
        <f>AVERAGE(B8:F8)</f>
        <v>6.2999999999999989</v>
      </c>
      <c r="J8" s="2" t="s">
        <v>29</v>
      </c>
    </row>
    <row r="9" spans="1:11" x14ac:dyDescent="0.25">
      <c r="A9" t="s">
        <v>23</v>
      </c>
      <c r="B9">
        <v>6.2</v>
      </c>
      <c r="C9">
        <v>4.7</v>
      </c>
      <c r="D9">
        <v>8.3000000000000007</v>
      </c>
      <c r="E9">
        <v>7.3</v>
      </c>
      <c r="F9">
        <v>6.3</v>
      </c>
      <c r="G9">
        <f t="shared" ref="G9:G13" si="0">AVERAGE(B9:F9)</f>
        <v>6.5600000000000005</v>
      </c>
    </row>
    <row r="10" spans="1:11" x14ac:dyDescent="0.25">
      <c r="A10" t="s">
        <v>24</v>
      </c>
      <c r="B10">
        <v>7.3</v>
      </c>
      <c r="C10">
        <v>6.3</v>
      </c>
      <c r="D10">
        <v>6.5</v>
      </c>
      <c r="E10">
        <v>8.4</v>
      </c>
      <c r="F10">
        <v>7.3</v>
      </c>
      <c r="G10">
        <f t="shared" si="0"/>
        <v>7.1599999999999993</v>
      </c>
    </row>
    <row r="11" spans="1:11" x14ac:dyDescent="0.25">
      <c r="A11" t="s">
        <v>25</v>
      </c>
      <c r="B11">
        <v>4.8</v>
      </c>
      <c r="C11">
        <v>4.7</v>
      </c>
      <c r="D11">
        <v>5.6</v>
      </c>
      <c r="E11">
        <v>3.5</v>
      </c>
      <c r="F11">
        <v>5.3</v>
      </c>
      <c r="G11">
        <f t="shared" si="0"/>
        <v>4.78</v>
      </c>
      <c r="K11" s="63"/>
    </row>
    <row r="12" spans="1:11" x14ac:dyDescent="0.25">
      <c r="A12" t="s">
        <v>26</v>
      </c>
      <c r="B12">
        <v>3.2</v>
      </c>
      <c r="C12">
        <v>5.6</v>
      </c>
      <c r="D12">
        <v>7.8</v>
      </c>
      <c r="E12">
        <v>6.7</v>
      </c>
      <c r="F12">
        <v>4.8</v>
      </c>
      <c r="G12">
        <f t="shared" si="0"/>
        <v>5.62</v>
      </c>
    </row>
    <row r="13" spans="1:11" x14ac:dyDescent="0.25">
      <c r="A13" t="s">
        <v>27</v>
      </c>
      <c r="B13">
        <v>6.4</v>
      </c>
      <c r="C13">
        <v>6.3</v>
      </c>
      <c r="D13">
        <v>9.3000000000000007</v>
      </c>
      <c r="E13">
        <v>7.3</v>
      </c>
      <c r="F13">
        <v>6.1</v>
      </c>
      <c r="G13">
        <f t="shared" si="0"/>
        <v>7.08</v>
      </c>
    </row>
  </sheetData>
  <conditionalFormatting sqref="G7:G13">
    <cfRule type="cellIs" dxfId="0" priority="1" operator="lessThan">
      <formula>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24"/>
  <sheetViews>
    <sheetView topLeftCell="B1" workbookViewId="0">
      <selection activeCell="I20" sqref="I20"/>
    </sheetView>
  </sheetViews>
  <sheetFormatPr defaultRowHeight="15" x14ac:dyDescent="0.25"/>
  <cols>
    <col min="1" max="1" width="38.28515625" bestFit="1" customWidth="1"/>
  </cols>
  <sheetData>
    <row r="1" spans="1:12" x14ac:dyDescent="0.25">
      <c r="A1" s="1" t="s">
        <v>98</v>
      </c>
    </row>
    <row r="3" spans="1:12" x14ac:dyDescent="0.25">
      <c r="A3" s="4" t="s">
        <v>61</v>
      </c>
      <c r="B3" s="4"/>
      <c r="C3" s="4"/>
      <c r="D3" s="4"/>
      <c r="E3" s="4"/>
      <c r="F3" s="4"/>
      <c r="G3" s="4"/>
    </row>
    <row r="4" spans="1:12" x14ac:dyDescent="0.25">
      <c r="A4" s="4" t="s">
        <v>62</v>
      </c>
      <c r="B4" s="4"/>
      <c r="C4" s="4"/>
      <c r="D4" s="4"/>
      <c r="E4" s="4"/>
      <c r="F4" s="4"/>
      <c r="G4" s="4"/>
    </row>
    <row r="5" spans="1:12" x14ac:dyDescent="0.25">
      <c r="A5" s="5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K5" s="6" t="s">
        <v>59</v>
      </c>
    </row>
    <row r="6" spans="1:12" x14ac:dyDescent="0.25">
      <c r="A6" t="s">
        <v>37</v>
      </c>
      <c r="B6" s="7" t="s">
        <v>38</v>
      </c>
      <c r="C6" s="7">
        <v>2500</v>
      </c>
      <c r="D6" s="7">
        <v>252</v>
      </c>
      <c r="E6" s="7">
        <v>300</v>
      </c>
      <c r="F6" s="64">
        <f>C6*3%</f>
        <v>75</v>
      </c>
      <c r="G6" s="65">
        <f>C6-D6-E6-F6</f>
        <v>1873</v>
      </c>
    </row>
    <row r="7" spans="1:12" x14ac:dyDescent="0.25">
      <c r="A7" t="s">
        <v>39</v>
      </c>
      <c r="B7" s="7" t="s">
        <v>38</v>
      </c>
      <c r="C7" s="7">
        <v>3600</v>
      </c>
      <c r="D7" s="7">
        <v>350</v>
      </c>
      <c r="E7" s="7">
        <v>250</v>
      </c>
      <c r="F7" s="64">
        <f t="shared" ref="F7:F24" si="0">C7*3%</f>
        <v>108</v>
      </c>
      <c r="G7" s="65">
        <f t="shared" ref="G7:G24" si="1">C7-D7-E7-F7</f>
        <v>2892</v>
      </c>
      <c r="K7" s="2" t="s">
        <v>60</v>
      </c>
    </row>
    <row r="8" spans="1:12" x14ac:dyDescent="0.25">
      <c r="A8" t="s">
        <v>40</v>
      </c>
      <c r="B8" s="7" t="s">
        <v>38</v>
      </c>
      <c r="C8" s="7">
        <v>3560</v>
      </c>
      <c r="D8" s="7">
        <v>365</v>
      </c>
      <c r="E8" s="7">
        <v>300</v>
      </c>
      <c r="F8" s="64">
        <f t="shared" si="0"/>
        <v>106.8</v>
      </c>
      <c r="G8" s="65">
        <f t="shared" si="1"/>
        <v>2788.2</v>
      </c>
      <c r="K8" s="2" t="s">
        <v>63</v>
      </c>
    </row>
    <row r="9" spans="1:12" x14ac:dyDescent="0.25">
      <c r="A9" t="s">
        <v>41</v>
      </c>
      <c r="B9" s="7" t="s">
        <v>38</v>
      </c>
      <c r="C9" s="7">
        <v>4500</v>
      </c>
      <c r="D9" s="7">
        <v>412</v>
      </c>
      <c r="E9" s="7">
        <v>400</v>
      </c>
      <c r="F9" s="64">
        <f t="shared" si="0"/>
        <v>135</v>
      </c>
      <c r="G9" s="65">
        <f t="shared" si="1"/>
        <v>3553</v>
      </c>
      <c r="L9" s="2" t="s">
        <v>64</v>
      </c>
    </row>
    <row r="10" spans="1:12" x14ac:dyDescent="0.25">
      <c r="A10" t="s">
        <v>42</v>
      </c>
      <c r="B10" s="7" t="s">
        <v>38</v>
      </c>
      <c r="C10" s="7">
        <v>9000</v>
      </c>
      <c r="D10" s="7">
        <v>1100</v>
      </c>
      <c r="E10" s="7">
        <v>1320</v>
      </c>
      <c r="F10" s="64">
        <f t="shared" si="0"/>
        <v>270</v>
      </c>
      <c r="G10" s="65">
        <f t="shared" si="1"/>
        <v>6310</v>
      </c>
    </row>
    <row r="11" spans="1:12" x14ac:dyDescent="0.25">
      <c r="A11" t="s">
        <v>43</v>
      </c>
      <c r="B11" s="7" t="s">
        <v>38</v>
      </c>
      <c r="C11" s="7">
        <v>3321</v>
      </c>
      <c r="D11" s="7">
        <v>330</v>
      </c>
      <c r="E11" s="7">
        <v>300</v>
      </c>
      <c r="F11" s="64">
        <f t="shared" si="0"/>
        <v>99.63</v>
      </c>
      <c r="G11" s="65">
        <f t="shared" si="1"/>
        <v>2591.37</v>
      </c>
    </row>
    <row r="12" spans="1:12" x14ac:dyDescent="0.25">
      <c r="A12" t="s">
        <v>44</v>
      </c>
      <c r="B12" s="7" t="s">
        <v>45</v>
      </c>
      <c r="C12" s="7">
        <v>2500</v>
      </c>
      <c r="D12" s="7">
        <v>245</v>
      </c>
      <c r="E12" s="7">
        <v>213</v>
      </c>
      <c r="F12" s="64">
        <f t="shared" si="0"/>
        <v>75</v>
      </c>
      <c r="G12" s="65">
        <f t="shared" si="1"/>
        <v>1967</v>
      </c>
    </row>
    <row r="13" spans="1:12" x14ac:dyDescent="0.25">
      <c r="A13" t="s">
        <v>46</v>
      </c>
      <c r="B13" s="7" t="s">
        <v>45</v>
      </c>
      <c r="C13" s="7">
        <v>6300</v>
      </c>
      <c r="D13" s="7">
        <v>620</v>
      </c>
      <c r="E13" s="7">
        <v>600</v>
      </c>
      <c r="F13" s="64">
        <f t="shared" si="0"/>
        <v>189</v>
      </c>
      <c r="G13" s="65">
        <f t="shared" si="1"/>
        <v>4891</v>
      </c>
    </row>
    <row r="14" spans="1:12" x14ac:dyDescent="0.25">
      <c r="A14" t="s">
        <v>47</v>
      </c>
      <c r="B14" s="7" t="s">
        <v>45</v>
      </c>
      <c r="C14" s="7">
        <v>2350</v>
      </c>
      <c r="D14" s="7">
        <v>210</v>
      </c>
      <c r="E14" s="7">
        <v>320</v>
      </c>
      <c r="F14" s="64">
        <f t="shared" si="0"/>
        <v>70.5</v>
      </c>
      <c r="G14" s="65">
        <f t="shared" si="1"/>
        <v>1749.5</v>
      </c>
    </row>
    <row r="15" spans="1:12" x14ac:dyDescent="0.25">
      <c r="A15" t="s">
        <v>48</v>
      </c>
      <c r="B15" s="7" t="s">
        <v>45</v>
      </c>
      <c r="C15" s="7">
        <v>2500</v>
      </c>
      <c r="D15" s="7">
        <v>255</v>
      </c>
      <c r="E15" s="7">
        <v>233</v>
      </c>
      <c r="F15" s="64">
        <f t="shared" si="0"/>
        <v>75</v>
      </c>
      <c r="G15" s="65">
        <f t="shared" si="1"/>
        <v>1937</v>
      </c>
    </row>
    <row r="16" spans="1:12" x14ac:dyDescent="0.25">
      <c r="A16" t="s">
        <v>49</v>
      </c>
      <c r="B16" s="7" t="s">
        <v>45</v>
      </c>
      <c r="C16" s="7">
        <v>1500</v>
      </c>
      <c r="D16" s="7">
        <v>140</v>
      </c>
      <c r="E16" s="7">
        <v>110</v>
      </c>
      <c r="F16" s="64">
        <f t="shared" si="0"/>
        <v>45</v>
      </c>
      <c r="G16" s="65">
        <f t="shared" si="1"/>
        <v>1205</v>
      </c>
    </row>
    <row r="17" spans="1:10" x14ac:dyDescent="0.25">
      <c r="A17" t="s">
        <v>50</v>
      </c>
      <c r="B17" s="7" t="s">
        <v>45</v>
      </c>
      <c r="C17" s="7">
        <v>3200</v>
      </c>
      <c r="D17" s="7">
        <v>315</v>
      </c>
      <c r="E17" s="7">
        <v>285</v>
      </c>
      <c r="F17" s="64">
        <f t="shared" si="0"/>
        <v>96</v>
      </c>
      <c r="G17" s="65">
        <f t="shared" si="1"/>
        <v>2504</v>
      </c>
    </row>
    <row r="18" spans="1:10" x14ac:dyDescent="0.25">
      <c r="A18" t="s">
        <v>51</v>
      </c>
      <c r="B18" s="7" t="s">
        <v>45</v>
      </c>
      <c r="C18" s="7">
        <v>4012</v>
      </c>
      <c r="D18" s="7">
        <v>400</v>
      </c>
      <c r="E18" s="7">
        <v>350</v>
      </c>
      <c r="F18" s="64">
        <f t="shared" si="0"/>
        <v>120.36</v>
      </c>
      <c r="G18" s="65">
        <f t="shared" si="1"/>
        <v>3141.64</v>
      </c>
      <c r="H18" s="7"/>
      <c r="I18" s="7"/>
      <c r="J18" s="7"/>
    </row>
    <row r="19" spans="1:10" x14ac:dyDescent="0.25">
      <c r="A19" t="s">
        <v>52</v>
      </c>
      <c r="B19" s="7" t="s">
        <v>53</v>
      </c>
      <c r="C19" s="7">
        <v>1250</v>
      </c>
      <c r="D19" s="7">
        <v>156</v>
      </c>
      <c r="E19" s="7">
        <v>120</v>
      </c>
      <c r="F19" s="64">
        <f t="shared" si="0"/>
        <v>37.5</v>
      </c>
      <c r="G19" s="65">
        <f t="shared" si="1"/>
        <v>936.5</v>
      </c>
      <c r="H19" s="7"/>
      <c r="I19" s="7"/>
      <c r="J19" s="7"/>
    </row>
    <row r="20" spans="1:10" x14ac:dyDescent="0.25">
      <c r="A20" t="s">
        <v>54</v>
      </c>
      <c r="B20" s="7" t="s">
        <v>53</v>
      </c>
      <c r="C20" s="7">
        <v>3350</v>
      </c>
      <c r="D20" s="7">
        <v>330</v>
      </c>
      <c r="E20" s="7">
        <v>300</v>
      </c>
      <c r="F20" s="64">
        <f t="shared" si="0"/>
        <v>100.5</v>
      </c>
      <c r="G20" s="65">
        <f t="shared" si="1"/>
        <v>2619.5</v>
      </c>
      <c r="H20" s="7"/>
      <c r="I20" s="66"/>
      <c r="J20" s="7"/>
    </row>
    <row r="21" spans="1:10" x14ac:dyDescent="0.25">
      <c r="A21" t="s">
        <v>55</v>
      </c>
      <c r="B21" s="7" t="s">
        <v>53</v>
      </c>
      <c r="C21" s="7">
        <v>3640</v>
      </c>
      <c r="D21" s="7">
        <v>350</v>
      </c>
      <c r="E21" s="7">
        <v>320</v>
      </c>
      <c r="F21" s="64">
        <f t="shared" si="0"/>
        <v>109.2</v>
      </c>
      <c r="G21" s="65">
        <f t="shared" si="1"/>
        <v>2860.8</v>
      </c>
      <c r="H21" s="7"/>
      <c r="I21" s="7"/>
      <c r="J21" s="7"/>
    </row>
    <row r="22" spans="1:10" x14ac:dyDescent="0.25">
      <c r="A22" t="s">
        <v>56</v>
      </c>
      <c r="B22" s="7" t="s">
        <v>53</v>
      </c>
      <c r="C22" s="7">
        <v>2530</v>
      </c>
      <c r="D22" s="7">
        <v>250</v>
      </c>
      <c r="E22" s="7">
        <v>221</v>
      </c>
      <c r="F22" s="64">
        <f t="shared" si="0"/>
        <v>75.899999999999991</v>
      </c>
      <c r="G22" s="65">
        <f t="shared" si="1"/>
        <v>1983.1</v>
      </c>
      <c r="H22" s="7"/>
      <c r="I22" s="7"/>
      <c r="J22" s="7"/>
    </row>
    <row r="23" spans="1:10" x14ac:dyDescent="0.25">
      <c r="A23" t="s">
        <v>57</v>
      </c>
      <c r="B23" s="7" t="s">
        <v>53</v>
      </c>
      <c r="C23" s="7">
        <v>2000</v>
      </c>
      <c r="D23" s="7">
        <v>196</v>
      </c>
      <c r="E23" s="7">
        <v>145</v>
      </c>
      <c r="F23" s="64">
        <f t="shared" si="0"/>
        <v>60</v>
      </c>
      <c r="G23" s="65">
        <f t="shared" si="1"/>
        <v>1599</v>
      </c>
      <c r="H23" s="7"/>
      <c r="I23" s="7"/>
      <c r="J23" s="7"/>
    </row>
    <row r="24" spans="1:10" x14ac:dyDescent="0.25">
      <c r="A24" t="s">
        <v>58</v>
      </c>
      <c r="B24" s="7" t="s">
        <v>53</v>
      </c>
      <c r="C24" s="7">
        <v>1713</v>
      </c>
      <c r="D24" s="7">
        <v>171</v>
      </c>
      <c r="E24" s="7">
        <v>150</v>
      </c>
      <c r="F24" s="64">
        <f t="shared" si="0"/>
        <v>51.39</v>
      </c>
      <c r="G24" s="65">
        <f t="shared" si="1"/>
        <v>1340.61</v>
      </c>
      <c r="H24" s="7"/>
      <c r="I24" s="7"/>
      <c r="J24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4"/>
  <sheetViews>
    <sheetView workbookViewId="0">
      <selection activeCell="K14" sqref="K14"/>
    </sheetView>
  </sheetViews>
  <sheetFormatPr defaultRowHeight="15" x14ac:dyDescent="0.25"/>
  <cols>
    <col min="1" max="1" width="13.140625" bestFit="1" customWidth="1"/>
    <col min="2" max="2" width="6.85546875" bestFit="1" customWidth="1"/>
    <col min="3" max="3" width="5.42578125" bestFit="1" customWidth="1"/>
    <col min="4" max="4" width="6.140625" bestFit="1" customWidth="1"/>
    <col min="5" max="5" width="11.5703125" bestFit="1" customWidth="1"/>
    <col min="6" max="6" width="10.5703125" bestFit="1" customWidth="1"/>
    <col min="7" max="7" width="12.140625" bestFit="1" customWidth="1"/>
    <col min="8" max="8" width="10.5703125" bestFit="1" customWidth="1"/>
    <col min="9" max="10" width="12.140625" bestFit="1" customWidth="1"/>
  </cols>
  <sheetData>
    <row r="1" spans="1:11" x14ac:dyDescent="0.25">
      <c r="A1" t="s">
        <v>101</v>
      </c>
    </row>
    <row r="3" spans="1:11" ht="15.75" thickBot="1" x14ac:dyDescent="0.3"/>
    <row r="4" spans="1:11" ht="15.75" thickTop="1" x14ac:dyDescent="0.25">
      <c r="A4" s="79" t="s">
        <v>65</v>
      </c>
      <c r="B4" s="80"/>
      <c r="C4" s="80"/>
      <c r="D4" s="80"/>
      <c r="E4" s="80"/>
      <c r="F4" s="80"/>
      <c r="G4" s="80"/>
      <c r="H4" s="80"/>
      <c r="I4" s="80"/>
      <c r="J4" s="81"/>
    </row>
    <row r="5" spans="1:11" ht="15.75" thickBot="1" x14ac:dyDescent="0.3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1" ht="15.75" thickTop="1" x14ac:dyDescent="0.25">
      <c r="A6" s="11" t="s">
        <v>66</v>
      </c>
      <c r="B6" s="11" t="s">
        <v>67</v>
      </c>
      <c r="C6" s="11" t="s">
        <v>68</v>
      </c>
      <c r="D6" s="11" t="s">
        <v>69</v>
      </c>
      <c r="E6" s="11" t="s">
        <v>70</v>
      </c>
      <c r="F6" s="11" t="s">
        <v>71</v>
      </c>
      <c r="G6" s="11" t="s">
        <v>72</v>
      </c>
      <c r="H6" s="11" t="s">
        <v>73</v>
      </c>
      <c r="I6" s="11" t="s">
        <v>74</v>
      </c>
      <c r="J6" s="11" t="s">
        <v>75</v>
      </c>
    </row>
    <row r="7" spans="1:11" x14ac:dyDescent="0.25">
      <c r="A7" s="12" t="s">
        <v>76</v>
      </c>
      <c r="B7" s="12">
        <v>3</v>
      </c>
      <c r="C7" s="12">
        <v>4</v>
      </c>
      <c r="D7" s="12">
        <v>3</v>
      </c>
      <c r="E7" s="13">
        <f t="shared" ref="E7:E12" si="0">B7+C7+D7</f>
        <v>10</v>
      </c>
      <c r="F7" s="14">
        <v>680</v>
      </c>
      <c r="G7" s="67">
        <f>E7*F7</f>
        <v>6800</v>
      </c>
      <c r="H7" s="15">
        <v>0.1</v>
      </c>
      <c r="I7" s="68">
        <f>G7*H7</f>
        <v>680</v>
      </c>
      <c r="J7" s="69">
        <f>G7-I7</f>
        <v>6120</v>
      </c>
    </row>
    <row r="8" spans="1:11" x14ac:dyDescent="0.25">
      <c r="A8" s="12" t="s">
        <v>77</v>
      </c>
      <c r="B8" s="12">
        <v>6</v>
      </c>
      <c r="C8" s="12">
        <v>5</v>
      </c>
      <c r="D8" s="12">
        <v>4</v>
      </c>
      <c r="E8" s="13">
        <f t="shared" si="0"/>
        <v>15</v>
      </c>
      <c r="F8" s="14">
        <v>199</v>
      </c>
      <c r="G8" s="67">
        <f t="shared" ref="G8:G12" si="1">E8*F8</f>
        <v>2985</v>
      </c>
      <c r="H8" s="15">
        <v>0.05</v>
      </c>
      <c r="I8" s="68">
        <f t="shared" ref="I8:I12" si="2">G8*H8</f>
        <v>149.25</v>
      </c>
      <c r="J8" s="69">
        <f t="shared" ref="J8:J12" si="3">G8-I8</f>
        <v>2835.75</v>
      </c>
    </row>
    <row r="9" spans="1:11" x14ac:dyDescent="0.25">
      <c r="A9" s="12" t="s">
        <v>78</v>
      </c>
      <c r="B9" s="12">
        <v>8</v>
      </c>
      <c r="C9" s="12">
        <v>10</v>
      </c>
      <c r="D9" s="12">
        <v>7</v>
      </c>
      <c r="E9" s="13">
        <f t="shared" si="0"/>
        <v>25</v>
      </c>
      <c r="F9" s="14">
        <v>22</v>
      </c>
      <c r="G9" s="67">
        <f t="shared" si="1"/>
        <v>550</v>
      </c>
      <c r="H9" s="15">
        <v>0.05</v>
      </c>
      <c r="I9" s="68">
        <f t="shared" si="2"/>
        <v>27.5</v>
      </c>
      <c r="J9" s="69">
        <f t="shared" si="3"/>
        <v>522.5</v>
      </c>
    </row>
    <row r="10" spans="1:11" x14ac:dyDescent="0.25">
      <c r="A10" s="12" t="s">
        <v>79</v>
      </c>
      <c r="B10" s="12">
        <v>11</v>
      </c>
      <c r="C10" s="12">
        <v>15</v>
      </c>
      <c r="D10" s="12">
        <v>5</v>
      </c>
      <c r="E10" s="13">
        <f t="shared" si="0"/>
        <v>31</v>
      </c>
      <c r="F10" s="14">
        <v>12</v>
      </c>
      <c r="G10" s="67">
        <f t="shared" si="1"/>
        <v>372</v>
      </c>
      <c r="H10" s="15">
        <v>0.05</v>
      </c>
      <c r="I10" s="68">
        <f t="shared" si="2"/>
        <v>18.600000000000001</v>
      </c>
      <c r="J10" s="69">
        <f t="shared" si="3"/>
        <v>353.4</v>
      </c>
    </row>
    <row r="11" spans="1:11" x14ac:dyDescent="0.25">
      <c r="A11" s="12" t="s">
        <v>80</v>
      </c>
      <c r="B11" s="12">
        <v>3</v>
      </c>
      <c r="C11" s="12">
        <v>5</v>
      </c>
      <c r="D11" s="12">
        <v>3</v>
      </c>
      <c r="E11" s="13">
        <f t="shared" si="0"/>
        <v>11</v>
      </c>
      <c r="F11" s="14">
        <v>363</v>
      </c>
      <c r="G11" s="67">
        <f t="shared" si="1"/>
        <v>3993</v>
      </c>
      <c r="H11" s="15">
        <v>0.1</v>
      </c>
      <c r="I11" s="68">
        <f t="shared" si="2"/>
        <v>399.3</v>
      </c>
      <c r="J11" s="69">
        <f t="shared" si="3"/>
        <v>3593.7</v>
      </c>
    </row>
    <row r="12" spans="1:11" x14ac:dyDescent="0.25">
      <c r="A12" s="12" t="s">
        <v>81</v>
      </c>
      <c r="B12" s="12">
        <v>5</v>
      </c>
      <c r="C12" s="12">
        <v>3</v>
      </c>
      <c r="D12" s="12">
        <v>7</v>
      </c>
      <c r="E12" s="13">
        <f t="shared" si="0"/>
        <v>15</v>
      </c>
      <c r="F12" s="14">
        <v>45</v>
      </c>
      <c r="G12" s="67">
        <f t="shared" si="1"/>
        <v>675</v>
      </c>
      <c r="H12" s="15">
        <v>0.05</v>
      </c>
      <c r="I12" s="68">
        <f t="shared" si="2"/>
        <v>33.75</v>
      </c>
      <c r="J12" s="69">
        <f t="shared" si="3"/>
        <v>641.25</v>
      </c>
    </row>
    <row r="13" spans="1:11" x14ac:dyDescent="0.25">
      <c r="G13" s="2" t="s">
        <v>82</v>
      </c>
      <c r="H13" s="2"/>
      <c r="I13" s="2" t="s">
        <v>82</v>
      </c>
      <c r="J13" s="2" t="s">
        <v>82</v>
      </c>
    </row>
    <row r="14" spans="1:11" x14ac:dyDescent="0.25">
      <c r="K14" s="63"/>
    </row>
  </sheetData>
  <mergeCells count="1">
    <mergeCell ref="A4:J4"/>
  </mergeCells>
  <pageMargins left="0.51181102362204722" right="0.51181102362204722" top="0.78740157480314965" bottom="0.78740157480314965" header="0.31496062992125984" footer="0.31496062992125984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4"/>
  <sheetViews>
    <sheetView workbookViewId="0">
      <selection activeCell="F13" sqref="F13"/>
    </sheetView>
  </sheetViews>
  <sheetFormatPr defaultRowHeight="15" x14ac:dyDescent="0.25"/>
  <cols>
    <col min="1" max="1" width="25.7109375" bestFit="1" customWidth="1"/>
    <col min="2" max="2" width="12.140625" bestFit="1" customWidth="1"/>
    <col min="3" max="3" width="14.7109375" bestFit="1" customWidth="1"/>
    <col min="4" max="4" width="12.140625" bestFit="1" customWidth="1"/>
    <col min="5" max="5" width="11.7109375" bestFit="1" customWidth="1"/>
    <col min="6" max="6" width="10.5703125" bestFit="1" customWidth="1"/>
    <col min="7" max="7" width="13.28515625" bestFit="1" customWidth="1"/>
    <col min="8" max="8" width="12.140625" bestFit="1" customWidth="1"/>
  </cols>
  <sheetData>
    <row r="1" spans="1:10" x14ac:dyDescent="0.25">
      <c r="A1" t="s">
        <v>102</v>
      </c>
    </row>
    <row r="4" spans="1:10" ht="15.75" x14ac:dyDescent="0.25">
      <c r="A4" s="82" t="s">
        <v>83</v>
      </c>
      <c r="B4" s="82"/>
      <c r="C4" s="82"/>
      <c r="D4" s="82"/>
      <c r="E4" s="82"/>
      <c r="F4" s="82"/>
      <c r="G4" s="82"/>
      <c r="H4" s="82"/>
    </row>
    <row r="5" spans="1:10" x14ac:dyDescent="0.25">
      <c r="C5" s="16">
        <v>0.06</v>
      </c>
      <c r="F5" s="16">
        <v>0.15</v>
      </c>
    </row>
    <row r="6" spans="1:10" ht="30" x14ac:dyDescent="0.25">
      <c r="A6" s="17" t="s">
        <v>84</v>
      </c>
      <c r="B6" s="17" t="s">
        <v>85</v>
      </c>
      <c r="C6" s="17" t="s">
        <v>86</v>
      </c>
      <c r="D6" s="17" t="s">
        <v>87</v>
      </c>
      <c r="E6" s="17" t="s">
        <v>88</v>
      </c>
      <c r="F6" s="17" t="s">
        <v>89</v>
      </c>
      <c r="G6" s="17" t="s">
        <v>90</v>
      </c>
      <c r="H6" s="17" t="s">
        <v>91</v>
      </c>
    </row>
    <row r="7" spans="1:10" x14ac:dyDescent="0.25">
      <c r="A7" t="s">
        <v>94</v>
      </c>
      <c r="B7" s="18">
        <v>1550</v>
      </c>
      <c r="C7" s="18">
        <f>B7*$C$5</f>
        <v>93</v>
      </c>
      <c r="D7" s="18">
        <v>750</v>
      </c>
      <c r="E7" s="18">
        <v>25</v>
      </c>
      <c r="F7" s="18">
        <f>B7*$F$5</f>
        <v>232.5</v>
      </c>
      <c r="G7" s="18">
        <v>30</v>
      </c>
      <c r="H7" s="18">
        <f>B7-C7+D7-E7+F7-G7</f>
        <v>2384.5</v>
      </c>
      <c r="J7" s="2" t="s">
        <v>168</v>
      </c>
    </row>
    <row r="8" spans="1:10" x14ac:dyDescent="0.25">
      <c r="A8" t="s">
        <v>93</v>
      </c>
      <c r="B8" s="18">
        <v>2300</v>
      </c>
      <c r="C8" s="18">
        <f>B8*$C$5</f>
        <v>138</v>
      </c>
      <c r="D8" s="18">
        <v>1150</v>
      </c>
      <c r="E8" s="18">
        <v>42</v>
      </c>
      <c r="F8" s="18">
        <f>B8*$F$5</f>
        <v>345</v>
      </c>
      <c r="G8" s="18">
        <v>65</v>
      </c>
      <c r="H8" s="18">
        <f>B8-C8+D8-E8+F8-G8</f>
        <v>3550</v>
      </c>
      <c r="J8" s="2"/>
    </row>
    <row r="9" spans="1:10" x14ac:dyDescent="0.25">
      <c r="A9" t="s">
        <v>92</v>
      </c>
      <c r="B9" s="18">
        <v>2000</v>
      </c>
      <c r="C9" s="18">
        <f>B9*$C$5</f>
        <v>120</v>
      </c>
      <c r="D9" s="18">
        <v>1000</v>
      </c>
      <c r="E9" s="18">
        <v>35</v>
      </c>
      <c r="F9" s="18">
        <f>B9*$F$5</f>
        <v>300</v>
      </c>
      <c r="G9" s="18">
        <v>50</v>
      </c>
      <c r="H9" s="18">
        <f>B9-C9+D9-E9+F9-G9</f>
        <v>3095</v>
      </c>
    </row>
    <row r="10" spans="1:10" x14ac:dyDescent="0.25">
      <c r="A10" t="s">
        <v>95</v>
      </c>
      <c r="B10" s="18">
        <v>4500</v>
      </c>
      <c r="C10" s="18">
        <f>B10*$C$5</f>
        <v>270</v>
      </c>
      <c r="D10" s="18">
        <v>2250</v>
      </c>
      <c r="E10" s="18">
        <v>70</v>
      </c>
      <c r="F10" s="18">
        <f>B10*$F$5</f>
        <v>675</v>
      </c>
      <c r="G10" s="18">
        <v>80</v>
      </c>
      <c r="H10" s="18">
        <f>B10-C10+D10-E10+F10-G10</f>
        <v>7005</v>
      </c>
    </row>
    <row r="12" spans="1:10" x14ac:dyDescent="0.25">
      <c r="A12" t="s">
        <v>189</v>
      </c>
      <c r="B12" s="72">
        <f>AVERAGE(B7:B10)</f>
        <v>2587.5</v>
      </c>
      <c r="C12" s="19" t="s">
        <v>96</v>
      </c>
    </row>
    <row r="13" spans="1:10" x14ac:dyDescent="0.25">
      <c r="A13" t="s">
        <v>190</v>
      </c>
      <c r="B13" s="70">
        <f>LARGE(B7:B10,1)</f>
        <v>4500</v>
      </c>
      <c r="C13" s="19" t="s">
        <v>96</v>
      </c>
      <c r="F13" s="63"/>
      <c r="J13" s="2" t="s">
        <v>194</v>
      </c>
    </row>
    <row r="14" spans="1:10" x14ac:dyDescent="0.25">
      <c r="A14" t="s">
        <v>191</v>
      </c>
      <c r="B14" s="71">
        <f>SMALL(B7:B10,1)</f>
        <v>1550</v>
      </c>
      <c r="C14" s="19" t="s">
        <v>96</v>
      </c>
      <c r="J14" s="2" t="s">
        <v>169</v>
      </c>
    </row>
  </sheetData>
  <sortState ref="A7:H10">
    <sortCondition ref="A7:A10"/>
  </sortState>
  <mergeCells count="1">
    <mergeCell ref="A4:H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26"/>
  <sheetViews>
    <sheetView topLeftCell="A13" workbookViewId="0">
      <selection activeCell="G24" sqref="G24"/>
    </sheetView>
  </sheetViews>
  <sheetFormatPr defaultRowHeight="15" x14ac:dyDescent="0.25"/>
  <cols>
    <col min="1" max="1" width="18.28515625" bestFit="1" customWidth="1"/>
    <col min="2" max="2" width="10" bestFit="1" customWidth="1"/>
    <col min="3" max="3" width="11.7109375" bestFit="1" customWidth="1"/>
    <col min="4" max="7" width="10" bestFit="1" customWidth="1"/>
  </cols>
  <sheetData>
    <row r="1" spans="1:7" x14ac:dyDescent="0.25">
      <c r="A1" t="s">
        <v>149</v>
      </c>
    </row>
    <row r="2" spans="1:7" x14ac:dyDescent="0.25">
      <c r="A2" t="s">
        <v>12</v>
      </c>
    </row>
    <row r="4" spans="1:7" ht="15.75" thickBot="1" x14ac:dyDescent="0.3"/>
    <row r="5" spans="1:7" ht="16.5" thickTop="1" thickBot="1" x14ac:dyDescent="0.3">
      <c r="A5" s="83" t="s">
        <v>148</v>
      </c>
      <c r="B5" s="84"/>
      <c r="C5" s="84"/>
      <c r="D5" s="84"/>
      <c r="E5" s="84"/>
      <c r="F5" s="84"/>
      <c r="G5" s="85"/>
    </row>
    <row r="6" spans="1:7" ht="16.5" thickTop="1" thickBot="1" x14ac:dyDescent="0.3">
      <c r="A6" s="27"/>
      <c r="B6" s="27"/>
      <c r="C6" s="27"/>
      <c r="D6" s="27"/>
      <c r="E6" s="27"/>
      <c r="F6" s="27"/>
      <c r="G6" s="27"/>
    </row>
    <row r="7" spans="1:7" ht="16.5" thickTop="1" thickBot="1" x14ac:dyDescent="0.3">
      <c r="A7" s="28"/>
      <c r="B7" s="29" t="s">
        <v>131</v>
      </c>
      <c r="C7" s="29" t="s">
        <v>132</v>
      </c>
      <c r="D7" s="29" t="s">
        <v>133</v>
      </c>
      <c r="E7" s="29" t="s">
        <v>134</v>
      </c>
      <c r="F7" s="29" t="s">
        <v>135</v>
      </c>
      <c r="G7" s="30" t="s">
        <v>136</v>
      </c>
    </row>
    <row r="8" spans="1:7" ht="15.75" thickBot="1" x14ac:dyDescent="0.3">
      <c r="A8" s="31" t="s">
        <v>137</v>
      </c>
      <c r="B8" s="32">
        <v>500</v>
      </c>
      <c r="C8" s="32">
        <v>750</v>
      </c>
      <c r="D8" s="32">
        <v>800</v>
      </c>
      <c r="E8" s="32">
        <v>700</v>
      </c>
      <c r="F8" s="32">
        <v>654</v>
      </c>
      <c r="G8" s="33">
        <v>700</v>
      </c>
    </row>
    <row r="9" spans="1:7" ht="16.5" thickTop="1" thickBot="1" x14ac:dyDescent="0.3">
      <c r="A9" s="27"/>
      <c r="B9" s="27"/>
      <c r="C9" s="27"/>
      <c r="D9" s="27"/>
      <c r="E9" s="27"/>
      <c r="F9" s="27"/>
      <c r="G9" s="27"/>
    </row>
    <row r="10" spans="1:7" ht="16.5" thickTop="1" thickBot="1" x14ac:dyDescent="0.3">
      <c r="A10" s="34" t="s">
        <v>138</v>
      </c>
      <c r="B10" s="35"/>
      <c r="C10" s="35"/>
      <c r="D10" s="35"/>
      <c r="E10" s="35"/>
      <c r="F10" s="35"/>
      <c r="G10" s="36"/>
    </row>
    <row r="11" spans="1:7" ht="15.75" thickBot="1" x14ac:dyDescent="0.3">
      <c r="A11" s="34" t="s">
        <v>139</v>
      </c>
      <c r="B11" s="37">
        <v>10</v>
      </c>
      <c r="C11" s="37">
        <v>15</v>
      </c>
      <c r="D11" s="37">
        <v>15</v>
      </c>
      <c r="E11" s="37">
        <v>12</v>
      </c>
      <c r="F11" s="37">
        <v>12</v>
      </c>
      <c r="G11" s="38">
        <v>11</v>
      </c>
    </row>
    <row r="12" spans="1:7" ht="15.75" thickBot="1" x14ac:dyDescent="0.3">
      <c r="A12" s="34" t="s">
        <v>140</v>
      </c>
      <c r="B12" s="37">
        <v>50</v>
      </c>
      <c r="C12" s="37">
        <v>60</v>
      </c>
      <c r="D12" s="37">
        <v>54</v>
      </c>
      <c r="E12" s="37">
        <v>55</v>
      </c>
      <c r="F12" s="37">
        <v>54</v>
      </c>
      <c r="G12" s="38">
        <v>56</v>
      </c>
    </row>
    <row r="13" spans="1:7" ht="15.75" thickBot="1" x14ac:dyDescent="0.3">
      <c r="A13" s="34" t="s">
        <v>141</v>
      </c>
      <c r="B13" s="37">
        <v>300</v>
      </c>
      <c r="C13" s="37">
        <v>250</v>
      </c>
      <c r="D13" s="37">
        <v>300</v>
      </c>
      <c r="E13" s="37">
        <v>300</v>
      </c>
      <c r="F13" s="37">
        <v>200</v>
      </c>
      <c r="G13" s="38">
        <v>200</v>
      </c>
    </row>
    <row r="14" spans="1:7" ht="15.75" thickBot="1" x14ac:dyDescent="0.3">
      <c r="A14" s="34" t="s">
        <v>142</v>
      </c>
      <c r="B14" s="37">
        <v>40</v>
      </c>
      <c r="C14" s="37">
        <v>40</v>
      </c>
      <c r="D14" s="37">
        <v>40</v>
      </c>
      <c r="E14" s="37">
        <v>40</v>
      </c>
      <c r="F14" s="37">
        <v>40</v>
      </c>
      <c r="G14" s="38">
        <v>40</v>
      </c>
    </row>
    <row r="15" spans="1:7" ht="15.75" thickBot="1" x14ac:dyDescent="0.3">
      <c r="A15" s="34" t="s">
        <v>143</v>
      </c>
      <c r="B15" s="37">
        <v>10</v>
      </c>
      <c r="C15" s="37">
        <v>15</v>
      </c>
      <c r="D15" s="37">
        <v>14</v>
      </c>
      <c r="E15" s="37">
        <v>15</v>
      </c>
      <c r="F15" s="37">
        <v>20</v>
      </c>
      <c r="G15" s="38">
        <v>31</v>
      </c>
    </row>
    <row r="16" spans="1:7" ht="15.75" thickBot="1" x14ac:dyDescent="0.3">
      <c r="A16" s="34" t="s">
        <v>144</v>
      </c>
      <c r="B16" s="37">
        <v>120</v>
      </c>
      <c r="C16" s="37">
        <v>150</v>
      </c>
      <c r="D16" s="37">
        <v>130</v>
      </c>
      <c r="E16" s="37">
        <v>200</v>
      </c>
      <c r="F16" s="37">
        <v>150</v>
      </c>
      <c r="G16" s="38">
        <v>190</v>
      </c>
    </row>
    <row r="17" spans="1:7" ht="15.75" thickBot="1" x14ac:dyDescent="0.3">
      <c r="A17" s="34" t="s">
        <v>145</v>
      </c>
      <c r="B17" s="37">
        <v>50</v>
      </c>
      <c r="C17" s="37">
        <v>60</v>
      </c>
      <c r="D17" s="37">
        <v>65</v>
      </c>
      <c r="E17" s="37">
        <v>70</v>
      </c>
      <c r="F17" s="37">
        <v>65</v>
      </c>
      <c r="G17" s="38">
        <v>85</v>
      </c>
    </row>
    <row r="18" spans="1:7" ht="15.75" thickBot="1" x14ac:dyDescent="0.3">
      <c r="A18" s="31" t="s">
        <v>146</v>
      </c>
      <c r="B18" s="32">
        <v>145</v>
      </c>
      <c r="C18" s="32">
        <v>145</v>
      </c>
      <c r="D18" s="32">
        <v>145</v>
      </c>
      <c r="E18" s="32">
        <v>145</v>
      </c>
      <c r="F18" s="32">
        <v>100</v>
      </c>
      <c r="G18" s="33">
        <v>145</v>
      </c>
    </row>
    <row r="19" spans="1:7" ht="16.5" thickTop="1" thickBot="1" x14ac:dyDescent="0.3">
      <c r="A19" s="27"/>
      <c r="B19" s="27"/>
      <c r="C19" s="27"/>
      <c r="D19" s="27"/>
      <c r="E19" s="27"/>
      <c r="F19" s="27"/>
      <c r="G19" s="27"/>
    </row>
    <row r="20" spans="1:7" ht="16.5" thickTop="1" thickBot="1" x14ac:dyDescent="0.3">
      <c r="A20" s="31" t="s">
        <v>147</v>
      </c>
      <c r="B20" s="32">
        <f>SUM(B11:B18)</f>
        <v>725</v>
      </c>
      <c r="C20" s="32">
        <f t="shared" ref="C20:G20" si="0">SUM(C11:C18)</f>
        <v>735</v>
      </c>
      <c r="D20" s="32">
        <f t="shared" si="0"/>
        <v>763</v>
      </c>
      <c r="E20" s="32">
        <f t="shared" si="0"/>
        <v>837</v>
      </c>
      <c r="F20" s="32">
        <f t="shared" si="0"/>
        <v>641</v>
      </c>
      <c r="G20" s="32">
        <f t="shared" si="0"/>
        <v>758</v>
      </c>
    </row>
    <row r="21" spans="1:7" ht="16.5" thickTop="1" thickBot="1" x14ac:dyDescent="0.3">
      <c r="A21" s="27"/>
      <c r="B21" s="27"/>
      <c r="C21" s="27"/>
      <c r="D21" s="27"/>
      <c r="E21" s="27"/>
      <c r="F21" s="27"/>
      <c r="G21" s="27"/>
    </row>
    <row r="22" spans="1:7" ht="16.5" thickTop="1" thickBot="1" x14ac:dyDescent="0.3">
      <c r="A22" s="31" t="s">
        <v>167</v>
      </c>
      <c r="B22" s="73">
        <f>B8-B20</f>
        <v>-225</v>
      </c>
      <c r="C22" s="73">
        <f t="shared" ref="C22:G22" si="1">C8-C20</f>
        <v>15</v>
      </c>
      <c r="D22" s="73">
        <f t="shared" si="1"/>
        <v>37</v>
      </c>
      <c r="E22" s="73">
        <f t="shared" si="1"/>
        <v>-137</v>
      </c>
      <c r="F22" s="73">
        <f t="shared" si="1"/>
        <v>13</v>
      </c>
      <c r="G22" s="73">
        <f t="shared" si="1"/>
        <v>-58</v>
      </c>
    </row>
    <row r="23" spans="1:7" ht="15.75" thickTop="1" x14ac:dyDescent="0.25"/>
    <row r="24" spans="1:7" x14ac:dyDescent="0.25">
      <c r="A24" s="1" t="s">
        <v>165</v>
      </c>
    </row>
    <row r="25" spans="1:7" x14ac:dyDescent="0.25">
      <c r="A25" s="1" t="s">
        <v>166</v>
      </c>
    </row>
    <row r="26" spans="1:7" x14ac:dyDescent="0.25">
      <c r="A26" s="1" t="s">
        <v>193</v>
      </c>
    </row>
  </sheetData>
  <mergeCells count="1">
    <mergeCell ref="A5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8"/>
  <sheetViews>
    <sheetView tabSelected="1" workbookViewId="0">
      <selection activeCell="F9" sqref="F9"/>
    </sheetView>
  </sheetViews>
  <sheetFormatPr defaultRowHeight="15" x14ac:dyDescent="0.25"/>
  <cols>
    <col min="1" max="1" width="25.85546875" bestFit="1" customWidth="1"/>
    <col min="5" max="5" width="11.5703125" bestFit="1" customWidth="1"/>
    <col min="8" max="8" width="9.140625" customWidth="1"/>
  </cols>
  <sheetData>
    <row r="1" spans="1:8" x14ac:dyDescent="0.25">
      <c r="A1" t="s">
        <v>164</v>
      </c>
    </row>
    <row r="4" spans="1:8" x14ac:dyDescent="0.25">
      <c r="A4" s="43" t="s">
        <v>150</v>
      </c>
      <c r="B4" s="61">
        <v>2.35</v>
      </c>
      <c r="C4" s="39"/>
      <c r="D4" s="39"/>
      <c r="E4" s="39"/>
      <c r="F4" s="39"/>
      <c r="G4" s="39"/>
    </row>
    <row r="5" spans="1:8" x14ac:dyDescent="0.25">
      <c r="A5" s="88" t="s">
        <v>151</v>
      </c>
      <c r="B5" s="88"/>
      <c r="C5" s="88"/>
      <c r="D5" s="88"/>
      <c r="E5" s="88"/>
      <c r="F5" s="39"/>
      <c r="G5" s="39"/>
    </row>
    <row r="6" spans="1:8" ht="25.5" x14ac:dyDescent="0.25">
      <c r="A6" s="42" t="s">
        <v>66</v>
      </c>
      <c r="B6" s="42" t="s">
        <v>152</v>
      </c>
      <c r="C6" s="42" t="s">
        <v>153</v>
      </c>
      <c r="D6" s="42" t="s">
        <v>154</v>
      </c>
      <c r="E6" s="42" t="s">
        <v>155</v>
      </c>
      <c r="F6" s="39"/>
      <c r="G6" s="39"/>
    </row>
    <row r="7" spans="1:8" x14ac:dyDescent="0.25">
      <c r="A7" s="43" t="s">
        <v>156</v>
      </c>
      <c r="B7" s="44">
        <v>500</v>
      </c>
      <c r="C7" s="45">
        <v>0.15</v>
      </c>
      <c r="D7" s="44">
        <f>B7*C7</f>
        <v>75</v>
      </c>
      <c r="E7" s="75">
        <f>D7/G$8</f>
        <v>18.89168765743073</v>
      </c>
      <c r="F7" s="39"/>
      <c r="G7" s="39" t="s">
        <v>195</v>
      </c>
    </row>
    <row r="8" spans="1:8" ht="13.5" customHeight="1" x14ac:dyDescent="0.55000000000000004">
      <c r="A8" s="43" t="s">
        <v>157</v>
      </c>
      <c r="B8" s="44">
        <v>750</v>
      </c>
      <c r="C8" s="45">
        <v>0.15</v>
      </c>
      <c r="D8" s="44">
        <f t="shared" ref="D8:D13" si="0">B8*C8</f>
        <v>112.5</v>
      </c>
      <c r="E8" s="75">
        <f t="shared" ref="E8:E13" si="1">D8/G$8</f>
        <v>28.337531486146094</v>
      </c>
      <c r="F8" s="39"/>
      <c r="G8" s="39">
        <v>3.97</v>
      </c>
      <c r="H8" s="74"/>
    </row>
    <row r="9" spans="1:8" x14ac:dyDescent="0.25">
      <c r="A9" s="43" t="s">
        <v>158</v>
      </c>
      <c r="B9" s="44">
        <v>250</v>
      </c>
      <c r="C9" s="45">
        <v>10</v>
      </c>
      <c r="D9" s="44">
        <f t="shared" si="0"/>
        <v>2500</v>
      </c>
      <c r="E9" s="75">
        <f t="shared" si="1"/>
        <v>629.7229219143577</v>
      </c>
      <c r="F9" s="89"/>
      <c r="G9" s="39"/>
    </row>
    <row r="10" spans="1:8" x14ac:dyDescent="0.25">
      <c r="A10" s="43" t="s">
        <v>159</v>
      </c>
      <c r="B10" s="44">
        <v>310</v>
      </c>
      <c r="C10" s="45">
        <v>0.5</v>
      </c>
      <c r="D10" s="44">
        <f t="shared" si="0"/>
        <v>155</v>
      </c>
      <c r="E10" s="75">
        <f t="shared" si="1"/>
        <v>39.042821158690174</v>
      </c>
      <c r="F10" s="39"/>
      <c r="G10" s="39"/>
    </row>
    <row r="11" spans="1:8" x14ac:dyDescent="0.25">
      <c r="A11" s="43" t="s">
        <v>160</v>
      </c>
      <c r="B11" s="44">
        <v>500</v>
      </c>
      <c r="C11" s="45">
        <v>0.1</v>
      </c>
      <c r="D11" s="44">
        <f t="shared" si="0"/>
        <v>50</v>
      </c>
      <c r="E11" s="75">
        <f t="shared" si="1"/>
        <v>12.594458438287154</v>
      </c>
      <c r="F11" s="39"/>
      <c r="G11" s="39"/>
    </row>
    <row r="12" spans="1:8" x14ac:dyDescent="0.25">
      <c r="A12" s="43" t="s">
        <v>161</v>
      </c>
      <c r="B12" s="44">
        <v>1500</v>
      </c>
      <c r="C12" s="45">
        <v>2.5</v>
      </c>
      <c r="D12" s="44">
        <f t="shared" si="0"/>
        <v>3750</v>
      </c>
      <c r="E12" s="75">
        <f t="shared" si="1"/>
        <v>944.58438287153649</v>
      </c>
      <c r="F12" s="39"/>
      <c r="G12" s="39"/>
    </row>
    <row r="13" spans="1:8" x14ac:dyDescent="0.25">
      <c r="A13" s="43" t="s">
        <v>162</v>
      </c>
      <c r="B13" s="44">
        <v>190</v>
      </c>
      <c r="C13" s="45">
        <v>6</v>
      </c>
      <c r="D13" s="44">
        <f t="shared" si="0"/>
        <v>1140</v>
      </c>
      <c r="E13" s="75">
        <f t="shared" si="1"/>
        <v>287.15365239294709</v>
      </c>
      <c r="F13" s="39"/>
      <c r="G13" s="39"/>
    </row>
    <row r="14" spans="1:8" ht="15.75" x14ac:dyDescent="0.25">
      <c r="A14" s="40"/>
      <c r="B14" s="40"/>
      <c r="C14" s="40"/>
      <c r="D14" s="40"/>
      <c r="E14" s="40"/>
      <c r="F14" s="40"/>
      <c r="G14" s="40"/>
    </row>
    <row r="15" spans="1:8" ht="15.75" x14ac:dyDescent="0.25">
      <c r="A15" s="41" t="s">
        <v>165</v>
      </c>
      <c r="B15" s="40"/>
      <c r="C15" s="40"/>
      <c r="D15" s="40"/>
      <c r="E15" s="40"/>
      <c r="F15" s="40"/>
      <c r="G15" s="40"/>
    </row>
    <row r="16" spans="1:8" ht="15.75" x14ac:dyDescent="0.25">
      <c r="A16" s="86" t="s">
        <v>163</v>
      </c>
      <c r="B16" s="86"/>
      <c r="C16" s="86"/>
      <c r="D16" s="86"/>
      <c r="E16" s="86"/>
      <c r="F16" s="86"/>
      <c r="G16" s="86"/>
    </row>
    <row r="17" spans="1:7" ht="15.75" x14ac:dyDescent="0.25">
      <c r="A17" s="86" t="s">
        <v>188</v>
      </c>
      <c r="B17" s="86"/>
      <c r="C17" s="86"/>
      <c r="D17" s="86"/>
      <c r="E17" s="86"/>
      <c r="F17" s="86"/>
      <c r="G17" s="86"/>
    </row>
    <row r="18" spans="1:7" ht="15.75" x14ac:dyDescent="0.25">
      <c r="A18" s="87"/>
      <c r="B18" s="87"/>
      <c r="C18" s="87"/>
      <c r="D18" s="87"/>
      <c r="E18" s="40"/>
      <c r="F18" s="40"/>
      <c r="G18" s="40"/>
    </row>
  </sheetData>
  <mergeCells count="4">
    <mergeCell ref="A16:G16"/>
    <mergeCell ref="A17:G17"/>
    <mergeCell ref="A18:D18"/>
    <mergeCell ref="A5:E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23"/>
  <sheetViews>
    <sheetView topLeftCell="A4" workbookViewId="0">
      <selection activeCell="D20" sqref="D20"/>
    </sheetView>
  </sheetViews>
  <sheetFormatPr defaultRowHeight="15" x14ac:dyDescent="0.25"/>
  <cols>
    <col min="1" max="1" width="30.7109375" bestFit="1" customWidth="1"/>
    <col min="2" max="2" width="7.140625" bestFit="1" customWidth="1"/>
    <col min="3" max="4" width="11.140625" customWidth="1"/>
    <col min="5" max="5" width="12.7109375" customWidth="1"/>
    <col min="6" max="6" width="10" bestFit="1" customWidth="1"/>
    <col min="7" max="7" width="13.85546875" customWidth="1"/>
    <col min="257" max="257" width="20.5703125" customWidth="1"/>
    <col min="258" max="258" width="7.140625" bestFit="1" customWidth="1"/>
    <col min="259" max="260" width="11.140625" customWidth="1"/>
    <col min="261" max="261" width="12.7109375" customWidth="1"/>
    <col min="262" max="262" width="10" bestFit="1" customWidth="1"/>
    <col min="263" max="263" width="13.85546875" customWidth="1"/>
    <col min="513" max="513" width="20.5703125" customWidth="1"/>
    <col min="514" max="514" width="7.140625" bestFit="1" customWidth="1"/>
    <col min="515" max="516" width="11.140625" customWidth="1"/>
    <col min="517" max="517" width="12.7109375" customWidth="1"/>
    <col min="518" max="518" width="10" bestFit="1" customWidth="1"/>
    <col min="519" max="519" width="13.85546875" customWidth="1"/>
    <col min="769" max="769" width="20.5703125" customWidth="1"/>
    <col min="770" max="770" width="7.140625" bestFit="1" customWidth="1"/>
    <col min="771" max="772" width="11.140625" customWidth="1"/>
    <col min="773" max="773" width="12.7109375" customWidth="1"/>
    <col min="774" max="774" width="10" bestFit="1" customWidth="1"/>
    <col min="775" max="775" width="13.85546875" customWidth="1"/>
    <col min="1025" max="1025" width="20.5703125" customWidth="1"/>
    <col min="1026" max="1026" width="7.140625" bestFit="1" customWidth="1"/>
    <col min="1027" max="1028" width="11.140625" customWidth="1"/>
    <col min="1029" max="1029" width="12.7109375" customWidth="1"/>
    <col min="1030" max="1030" width="10" bestFit="1" customWidth="1"/>
    <col min="1031" max="1031" width="13.85546875" customWidth="1"/>
    <col min="1281" max="1281" width="20.5703125" customWidth="1"/>
    <col min="1282" max="1282" width="7.140625" bestFit="1" customWidth="1"/>
    <col min="1283" max="1284" width="11.140625" customWidth="1"/>
    <col min="1285" max="1285" width="12.7109375" customWidth="1"/>
    <col min="1286" max="1286" width="10" bestFit="1" customWidth="1"/>
    <col min="1287" max="1287" width="13.85546875" customWidth="1"/>
    <col min="1537" max="1537" width="20.5703125" customWidth="1"/>
    <col min="1538" max="1538" width="7.140625" bestFit="1" customWidth="1"/>
    <col min="1539" max="1540" width="11.140625" customWidth="1"/>
    <col min="1541" max="1541" width="12.7109375" customWidth="1"/>
    <col min="1542" max="1542" width="10" bestFit="1" customWidth="1"/>
    <col min="1543" max="1543" width="13.85546875" customWidth="1"/>
    <col min="1793" max="1793" width="20.5703125" customWidth="1"/>
    <col min="1794" max="1794" width="7.140625" bestFit="1" customWidth="1"/>
    <col min="1795" max="1796" width="11.140625" customWidth="1"/>
    <col min="1797" max="1797" width="12.7109375" customWidth="1"/>
    <col min="1798" max="1798" width="10" bestFit="1" customWidth="1"/>
    <col min="1799" max="1799" width="13.85546875" customWidth="1"/>
    <col min="2049" max="2049" width="20.5703125" customWidth="1"/>
    <col min="2050" max="2050" width="7.140625" bestFit="1" customWidth="1"/>
    <col min="2051" max="2052" width="11.140625" customWidth="1"/>
    <col min="2053" max="2053" width="12.7109375" customWidth="1"/>
    <col min="2054" max="2054" width="10" bestFit="1" customWidth="1"/>
    <col min="2055" max="2055" width="13.85546875" customWidth="1"/>
    <col min="2305" max="2305" width="20.5703125" customWidth="1"/>
    <col min="2306" max="2306" width="7.140625" bestFit="1" customWidth="1"/>
    <col min="2307" max="2308" width="11.140625" customWidth="1"/>
    <col min="2309" max="2309" width="12.7109375" customWidth="1"/>
    <col min="2310" max="2310" width="10" bestFit="1" customWidth="1"/>
    <col min="2311" max="2311" width="13.85546875" customWidth="1"/>
    <col min="2561" max="2561" width="20.5703125" customWidth="1"/>
    <col min="2562" max="2562" width="7.140625" bestFit="1" customWidth="1"/>
    <col min="2563" max="2564" width="11.140625" customWidth="1"/>
    <col min="2565" max="2565" width="12.7109375" customWidth="1"/>
    <col min="2566" max="2566" width="10" bestFit="1" customWidth="1"/>
    <col min="2567" max="2567" width="13.85546875" customWidth="1"/>
    <col min="2817" max="2817" width="20.5703125" customWidth="1"/>
    <col min="2818" max="2818" width="7.140625" bestFit="1" customWidth="1"/>
    <col min="2819" max="2820" width="11.140625" customWidth="1"/>
    <col min="2821" max="2821" width="12.7109375" customWidth="1"/>
    <col min="2822" max="2822" width="10" bestFit="1" customWidth="1"/>
    <col min="2823" max="2823" width="13.85546875" customWidth="1"/>
    <col min="3073" max="3073" width="20.5703125" customWidth="1"/>
    <col min="3074" max="3074" width="7.140625" bestFit="1" customWidth="1"/>
    <col min="3075" max="3076" width="11.140625" customWidth="1"/>
    <col min="3077" max="3077" width="12.7109375" customWidth="1"/>
    <col min="3078" max="3078" width="10" bestFit="1" customWidth="1"/>
    <col min="3079" max="3079" width="13.85546875" customWidth="1"/>
    <col min="3329" max="3329" width="20.5703125" customWidth="1"/>
    <col min="3330" max="3330" width="7.140625" bestFit="1" customWidth="1"/>
    <col min="3331" max="3332" width="11.140625" customWidth="1"/>
    <col min="3333" max="3333" width="12.7109375" customWidth="1"/>
    <col min="3334" max="3334" width="10" bestFit="1" customWidth="1"/>
    <col min="3335" max="3335" width="13.85546875" customWidth="1"/>
    <col min="3585" max="3585" width="20.5703125" customWidth="1"/>
    <col min="3586" max="3586" width="7.140625" bestFit="1" customWidth="1"/>
    <col min="3587" max="3588" width="11.140625" customWidth="1"/>
    <col min="3589" max="3589" width="12.7109375" customWidth="1"/>
    <col min="3590" max="3590" width="10" bestFit="1" customWidth="1"/>
    <col min="3591" max="3591" width="13.85546875" customWidth="1"/>
    <col min="3841" max="3841" width="20.5703125" customWidth="1"/>
    <col min="3842" max="3842" width="7.140625" bestFit="1" customWidth="1"/>
    <col min="3843" max="3844" width="11.140625" customWidth="1"/>
    <col min="3845" max="3845" width="12.7109375" customWidth="1"/>
    <col min="3846" max="3846" width="10" bestFit="1" customWidth="1"/>
    <col min="3847" max="3847" width="13.85546875" customWidth="1"/>
    <col min="4097" max="4097" width="20.5703125" customWidth="1"/>
    <col min="4098" max="4098" width="7.140625" bestFit="1" customWidth="1"/>
    <col min="4099" max="4100" width="11.140625" customWidth="1"/>
    <col min="4101" max="4101" width="12.7109375" customWidth="1"/>
    <col min="4102" max="4102" width="10" bestFit="1" customWidth="1"/>
    <col min="4103" max="4103" width="13.85546875" customWidth="1"/>
    <col min="4353" max="4353" width="20.5703125" customWidth="1"/>
    <col min="4354" max="4354" width="7.140625" bestFit="1" customWidth="1"/>
    <col min="4355" max="4356" width="11.140625" customWidth="1"/>
    <col min="4357" max="4357" width="12.7109375" customWidth="1"/>
    <col min="4358" max="4358" width="10" bestFit="1" customWidth="1"/>
    <col min="4359" max="4359" width="13.85546875" customWidth="1"/>
    <col min="4609" max="4609" width="20.5703125" customWidth="1"/>
    <col min="4610" max="4610" width="7.140625" bestFit="1" customWidth="1"/>
    <col min="4611" max="4612" width="11.140625" customWidth="1"/>
    <col min="4613" max="4613" width="12.7109375" customWidth="1"/>
    <col min="4614" max="4614" width="10" bestFit="1" customWidth="1"/>
    <col min="4615" max="4615" width="13.85546875" customWidth="1"/>
    <col min="4865" max="4865" width="20.5703125" customWidth="1"/>
    <col min="4866" max="4866" width="7.140625" bestFit="1" customWidth="1"/>
    <col min="4867" max="4868" width="11.140625" customWidth="1"/>
    <col min="4869" max="4869" width="12.7109375" customWidth="1"/>
    <col min="4870" max="4870" width="10" bestFit="1" customWidth="1"/>
    <col min="4871" max="4871" width="13.85546875" customWidth="1"/>
    <col min="5121" max="5121" width="20.5703125" customWidth="1"/>
    <col min="5122" max="5122" width="7.140625" bestFit="1" customWidth="1"/>
    <col min="5123" max="5124" width="11.140625" customWidth="1"/>
    <col min="5125" max="5125" width="12.7109375" customWidth="1"/>
    <col min="5126" max="5126" width="10" bestFit="1" customWidth="1"/>
    <col min="5127" max="5127" width="13.85546875" customWidth="1"/>
    <col min="5377" max="5377" width="20.5703125" customWidth="1"/>
    <col min="5378" max="5378" width="7.140625" bestFit="1" customWidth="1"/>
    <col min="5379" max="5380" width="11.140625" customWidth="1"/>
    <col min="5381" max="5381" width="12.7109375" customWidth="1"/>
    <col min="5382" max="5382" width="10" bestFit="1" customWidth="1"/>
    <col min="5383" max="5383" width="13.85546875" customWidth="1"/>
    <col min="5633" max="5633" width="20.5703125" customWidth="1"/>
    <col min="5634" max="5634" width="7.140625" bestFit="1" customWidth="1"/>
    <col min="5635" max="5636" width="11.140625" customWidth="1"/>
    <col min="5637" max="5637" width="12.7109375" customWidth="1"/>
    <col min="5638" max="5638" width="10" bestFit="1" customWidth="1"/>
    <col min="5639" max="5639" width="13.85546875" customWidth="1"/>
    <col min="5889" max="5889" width="20.5703125" customWidth="1"/>
    <col min="5890" max="5890" width="7.140625" bestFit="1" customWidth="1"/>
    <col min="5891" max="5892" width="11.140625" customWidth="1"/>
    <col min="5893" max="5893" width="12.7109375" customWidth="1"/>
    <col min="5894" max="5894" width="10" bestFit="1" customWidth="1"/>
    <col min="5895" max="5895" width="13.85546875" customWidth="1"/>
    <col min="6145" max="6145" width="20.5703125" customWidth="1"/>
    <col min="6146" max="6146" width="7.140625" bestFit="1" customWidth="1"/>
    <col min="6147" max="6148" width="11.140625" customWidth="1"/>
    <col min="6149" max="6149" width="12.7109375" customWidth="1"/>
    <col min="6150" max="6150" width="10" bestFit="1" customWidth="1"/>
    <col min="6151" max="6151" width="13.85546875" customWidth="1"/>
    <col min="6401" max="6401" width="20.5703125" customWidth="1"/>
    <col min="6402" max="6402" width="7.140625" bestFit="1" customWidth="1"/>
    <col min="6403" max="6404" width="11.140625" customWidth="1"/>
    <col min="6405" max="6405" width="12.7109375" customWidth="1"/>
    <col min="6406" max="6406" width="10" bestFit="1" customWidth="1"/>
    <col min="6407" max="6407" width="13.85546875" customWidth="1"/>
    <col min="6657" max="6657" width="20.5703125" customWidth="1"/>
    <col min="6658" max="6658" width="7.140625" bestFit="1" customWidth="1"/>
    <col min="6659" max="6660" width="11.140625" customWidth="1"/>
    <col min="6661" max="6661" width="12.7109375" customWidth="1"/>
    <col min="6662" max="6662" width="10" bestFit="1" customWidth="1"/>
    <col min="6663" max="6663" width="13.85546875" customWidth="1"/>
    <col min="6913" max="6913" width="20.5703125" customWidth="1"/>
    <col min="6914" max="6914" width="7.140625" bestFit="1" customWidth="1"/>
    <col min="6915" max="6916" width="11.140625" customWidth="1"/>
    <col min="6917" max="6917" width="12.7109375" customWidth="1"/>
    <col min="6918" max="6918" width="10" bestFit="1" customWidth="1"/>
    <col min="6919" max="6919" width="13.85546875" customWidth="1"/>
    <col min="7169" max="7169" width="20.5703125" customWidth="1"/>
    <col min="7170" max="7170" width="7.140625" bestFit="1" customWidth="1"/>
    <col min="7171" max="7172" width="11.140625" customWidth="1"/>
    <col min="7173" max="7173" width="12.7109375" customWidth="1"/>
    <col min="7174" max="7174" width="10" bestFit="1" customWidth="1"/>
    <col min="7175" max="7175" width="13.85546875" customWidth="1"/>
    <col min="7425" max="7425" width="20.5703125" customWidth="1"/>
    <col min="7426" max="7426" width="7.140625" bestFit="1" customWidth="1"/>
    <col min="7427" max="7428" width="11.140625" customWidth="1"/>
    <col min="7429" max="7429" width="12.7109375" customWidth="1"/>
    <col min="7430" max="7430" width="10" bestFit="1" customWidth="1"/>
    <col min="7431" max="7431" width="13.85546875" customWidth="1"/>
    <col min="7681" max="7681" width="20.5703125" customWidth="1"/>
    <col min="7682" max="7682" width="7.140625" bestFit="1" customWidth="1"/>
    <col min="7683" max="7684" width="11.140625" customWidth="1"/>
    <col min="7685" max="7685" width="12.7109375" customWidth="1"/>
    <col min="7686" max="7686" width="10" bestFit="1" customWidth="1"/>
    <col min="7687" max="7687" width="13.85546875" customWidth="1"/>
    <col min="7937" max="7937" width="20.5703125" customWidth="1"/>
    <col min="7938" max="7938" width="7.140625" bestFit="1" customWidth="1"/>
    <col min="7939" max="7940" width="11.140625" customWidth="1"/>
    <col min="7941" max="7941" width="12.7109375" customWidth="1"/>
    <col min="7942" max="7942" width="10" bestFit="1" customWidth="1"/>
    <col min="7943" max="7943" width="13.85546875" customWidth="1"/>
    <col min="8193" max="8193" width="20.5703125" customWidth="1"/>
    <col min="8194" max="8194" width="7.140625" bestFit="1" customWidth="1"/>
    <col min="8195" max="8196" width="11.140625" customWidth="1"/>
    <col min="8197" max="8197" width="12.7109375" customWidth="1"/>
    <col min="8198" max="8198" width="10" bestFit="1" customWidth="1"/>
    <col min="8199" max="8199" width="13.85546875" customWidth="1"/>
    <col min="8449" max="8449" width="20.5703125" customWidth="1"/>
    <col min="8450" max="8450" width="7.140625" bestFit="1" customWidth="1"/>
    <col min="8451" max="8452" width="11.140625" customWidth="1"/>
    <col min="8453" max="8453" width="12.7109375" customWidth="1"/>
    <col min="8454" max="8454" width="10" bestFit="1" customWidth="1"/>
    <col min="8455" max="8455" width="13.85546875" customWidth="1"/>
    <col min="8705" max="8705" width="20.5703125" customWidth="1"/>
    <col min="8706" max="8706" width="7.140625" bestFit="1" customWidth="1"/>
    <col min="8707" max="8708" width="11.140625" customWidth="1"/>
    <col min="8709" max="8709" width="12.7109375" customWidth="1"/>
    <col min="8710" max="8710" width="10" bestFit="1" customWidth="1"/>
    <col min="8711" max="8711" width="13.85546875" customWidth="1"/>
    <col min="8961" max="8961" width="20.5703125" customWidth="1"/>
    <col min="8962" max="8962" width="7.140625" bestFit="1" customWidth="1"/>
    <col min="8963" max="8964" width="11.140625" customWidth="1"/>
    <col min="8965" max="8965" width="12.7109375" customWidth="1"/>
    <col min="8966" max="8966" width="10" bestFit="1" customWidth="1"/>
    <col min="8967" max="8967" width="13.85546875" customWidth="1"/>
    <col min="9217" max="9217" width="20.5703125" customWidth="1"/>
    <col min="9218" max="9218" width="7.140625" bestFit="1" customWidth="1"/>
    <col min="9219" max="9220" width="11.140625" customWidth="1"/>
    <col min="9221" max="9221" width="12.7109375" customWidth="1"/>
    <col min="9222" max="9222" width="10" bestFit="1" customWidth="1"/>
    <col min="9223" max="9223" width="13.85546875" customWidth="1"/>
    <col min="9473" max="9473" width="20.5703125" customWidth="1"/>
    <col min="9474" max="9474" width="7.140625" bestFit="1" customWidth="1"/>
    <col min="9475" max="9476" width="11.140625" customWidth="1"/>
    <col min="9477" max="9477" width="12.7109375" customWidth="1"/>
    <col min="9478" max="9478" width="10" bestFit="1" customWidth="1"/>
    <col min="9479" max="9479" width="13.85546875" customWidth="1"/>
    <col min="9729" max="9729" width="20.5703125" customWidth="1"/>
    <col min="9730" max="9730" width="7.140625" bestFit="1" customWidth="1"/>
    <col min="9731" max="9732" width="11.140625" customWidth="1"/>
    <col min="9733" max="9733" width="12.7109375" customWidth="1"/>
    <col min="9734" max="9734" width="10" bestFit="1" customWidth="1"/>
    <col min="9735" max="9735" width="13.85546875" customWidth="1"/>
    <col min="9985" max="9985" width="20.5703125" customWidth="1"/>
    <col min="9986" max="9986" width="7.140625" bestFit="1" customWidth="1"/>
    <col min="9987" max="9988" width="11.140625" customWidth="1"/>
    <col min="9989" max="9989" width="12.7109375" customWidth="1"/>
    <col min="9990" max="9990" width="10" bestFit="1" customWidth="1"/>
    <col min="9991" max="9991" width="13.85546875" customWidth="1"/>
    <col min="10241" max="10241" width="20.5703125" customWidth="1"/>
    <col min="10242" max="10242" width="7.140625" bestFit="1" customWidth="1"/>
    <col min="10243" max="10244" width="11.140625" customWidth="1"/>
    <col min="10245" max="10245" width="12.7109375" customWidth="1"/>
    <col min="10246" max="10246" width="10" bestFit="1" customWidth="1"/>
    <col min="10247" max="10247" width="13.85546875" customWidth="1"/>
    <col min="10497" max="10497" width="20.5703125" customWidth="1"/>
    <col min="10498" max="10498" width="7.140625" bestFit="1" customWidth="1"/>
    <col min="10499" max="10500" width="11.140625" customWidth="1"/>
    <col min="10501" max="10501" width="12.7109375" customWidth="1"/>
    <col min="10502" max="10502" width="10" bestFit="1" customWidth="1"/>
    <col min="10503" max="10503" width="13.85546875" customWidth="1"/>
    <col min="10753" max="10753" width="20.5703125" customWidth="1"/>
    <col min="10754" max="10754" width="7.140625" bestFit="1" customWidth="1"/>
    <col min="10755" max="10756" width="11.140625" customWidth="1"/>
    <col min="10757" max="10757" width="12.7109375" customWidth="1"/>
    <col min="10758" max="10758" width="10" bestFit="1" customWidth="1"/>
    <col min="10759" max="10759" width="13.85546875" customWidth="1"/>
    <col min="11009" max="11009" width="20.5703125" customWidth="1"/>
    <col min="11010" max="11010" width="7.140625" bestFit="1" customWidth="1"/>
    <col min="11011" max="11012" width="11.140625" customWidth="1"/>
    <col min="11013" max="11013" width="12.7109375" customWidth="1"/>
    <col min="11014" max="11014" width="10" bestFit="1" customWidth="1"/>
    <col min="11015" max="11015" width="13.85546875" customWidth="1"/>
    <col min="11265" max="11265" width="20.5703125" customWidth="1"/>
    <col min="11266" max="11266" width="7.140625" bestFit="1" customWidth="1"/>
    <col min="11267" max="11268" width="11.140625" customWidth="1"/>
    <col min="11269" max="11269" width="12.7109375" customWidth="1"/>
    <col min="11270" max="11270" width="10" bestFit="1" customWidth="1"/>
    <col min="11271" max="11271" width="13.85546875" customWidth="1"/>
    <col min="11521" max="11521" width="20.5703125" customWidth="1"/>
    <col min="11522" max="11522" width="7.140625" bestFit="1" customWidth="1"/>
    <col min="11523" max="11524" width="11.140625" customWidth="1"/>
    <col min="11525" max="11525" width="12.7109375" customWidth="1"/>
    <col min="11526" max="11526" width="10" bestFit="1" customWidth="1"/>
    <col min="11527" max="11527" width="13.85546875" customWidth="1"/>
    <col min="11777" max="11777" width="20.5703125" customWidth="1"/>
    <col min="11778" max="11778" width="7.140625" bestFit="1" customWidth="1"/>
    <col min="11779" max="11780" width="11.140625" customWidth="1"/>
    <col min="11781" max="11781" width="12.7109375" customWidth="1"/>
    <col min="11782" max="11782" width="10" bestFit="1" customWidth="1"/>
    <col min="11783" max="11783" width="13.85546875" customWidth="1"/>
    <col min="12033" max="12033" width="20.5703125" customWidth="1"/>
    <col min="12034" max="12034" width="7.140625" bestFit="1" customWidth="1"/>
    <col min="12035" max="12036" width="11.140625" customWidth="1"/>
    <col min="12037" max="12037" width="12.7109375" customWidth="1"/>
    <col min="12038" max="12038" width="10" bestFit="1" customWidth="1"/>
    <col min="12039" max="12039" width="13.85546875" customWidth="1"/>
    <col min="12289" max="12289" width="20.5703125" customWidth="1"/>
    <col min="12290" max="12290" width="7.140625" bestFit="1" customWidth="1"/>
    <col min="12291" max="12292" width="11.140625" customWidth="1"/>
    <col min="12293" max="12293" width="12.7109375" customWidth="1"/>
    <col min="12294" max="12294" width="10" bestFit="1" customWidth="1"/>
    <col min="12295" max="12295" width="13.85546875" customWidth="1"/>
    <col min="12545" max="12545" width="20.5703125" customWidth="1"/>
    <col min="12546" max="12546" width="7.140625" bestFit="1" customWidth="1"/>
    <col min="12547" max="12548" width="11.140625" customWidth="1"/>
    <col min="12549" max="12549" width="12.7109375" customWidth="1"/>
    <col min="12550" max="12550" width="10" bestFit="1" customWidth="1"/>
    <col min="12551" max="12551" width="13.85546875" customWidth="1"/>
    <col min="12801" max="12801" width="20.5703125" customWidth="1"/>
    <col min="12802" max="12802" width="7.140625" bestFit="1" customWidth="1"/>
    <col min="12803" max="12804" width="11.140625" customWidth="1"/>
    <col min="12805" max="12805" width="12.7109375" customWidth="1"/>
    <col min="12806" max="12806" width="10" bestFit="1" customWidth="1"/>
    <col min="12807" max="12807" width="13.85546875" customWidth="1"/>
    <col min="13057" max="13057" width="20.5703125" customWidth="1"/>
    <col min="13058" max="13058" width="7.140625" bestFit="1" customWidth="1"/>
    <col min="13059" max="13060" width="11.140625" customWidth="1"/>
    <col min="13061" max="13061" width="12.7109375" customWidth="1"/>
    <col min="13062" max="13062" width="10" bestFit="1" customWidth="1"/>
    <col min="13063" max="13063" width="13.85546875" customWidth="1"/>
    <col min="13313" max="13313" width="20.5703125" customWidth="1"/>
    <col min="13314" max="13314" width="7.140625" bestFit="1" customWidth="1"/>
    <col min="13315" max="13316" width="11.140625" customWidth="1"/>
    <col min="13317" max="13317" width="12.7109375" customWidth="1"/>
    <col min="13318" max="13318" width="10" bestFit="1" customWidth="1"/>
    <col min="13319" max="13319" width="13.85546875" customWidth="1"/>
    <col min="13569" max="13569" width="20.5703125" customWidth="1"/>
    <col min="13570" max="13570" width="7.140625" bestFit="1" customWidth="1"/>
    <col min="13571" max="13572" width="11.140625" customWidth="1"/>
    <col min="13573" max="13573" width="12.7109375" customWidth="1"/>
    <col min="13574" max="13574" width="10" bestFit="1" customWidth="1"/>
    <col min="13575" max="13575" width="13.85546875" customWidth="1"/>
    <col min="13825" max="13825" width="20.5703125" customWidth="1"/>
    <col min="13826" max="13826" width="7.140625" bestFit="1" customWidth="1"/>
    <col min="13827" max="13828" width="11.140625" customWidth="1"/>
    <col min="13829" max="13829" width="12.7109375" customWidth="1"/>
    <col min="13830" max="13830" width="10" bestFit="1" customWidth="1"/>
    <col min="13831" max="13831" width="13.85546875" customWidth="1"/>
    <col min="14081" max="14081" width="20.5703125" customWidth="1"/>
    <col min="14082" max="14082" width="7.140625" bestFit="1" customWidth="1"/>
    <col min="14083" max="14084" width="11.140625" customWidth="1"/>
    <col min="14085" max="14085" width="12.7109375" customWidth="1"/>
    <col min="14086" max="14086" width="10" bestFit="1" customWidth="1"/>
    <col min="14087" max="14087" width="13.85546875" customWidth="1"/>
    <col min="14337" max="14337" width="20.5703125" customWidth="1"/>
    <col min="14338" max="14338" width="7.140625" bestFit="1" customWidth="1"/>
    <col min="14339" max="14340" width="11.140625" customWidth="1"/>
    <col min="14341" max="14341" width="12.7109375" customWidth="1"/>
    <col min="14342" max="14342" width="10" bestFit="1" customWidth="1"/>
    <col min="14343" max="14343" width="13.85546875" customWidth="1"/>
    <col min="14593" max="14593" width="20.5703125" customWidth="1"/>
    <col min="14594" max="14594" width="7.140625" bestFit="1" customWidth="1"/>
    <col min="14595" max="14596" width="11.140625" customWidth="1"/>
    <col min="14597" max="14597" width="12.7109375" customWidth="1"/>
    <col min="14598" max="14598" width="10" bestFit="1" customWidth="1"/>
    <col min="14599" max="14599" width="13.85546875" customWidth="1"/>
    <col min="14849" max="14849" width="20.5703125" customWidth="1"/>
    <col min="14850" max="14850" width="7.140625" bestFit="1" customWidth="1"/>
    <col min="14851" max="14852" width="11.140625" customWidth="1"/>
    <col min="14853" max="14853" width="12.7109375" customWidth="1"/>
    <col min="14854" max="14854" width="10" bestFit="1" customWidth="1"/>
    <col min="14855" max="14855" width="13.85546875" customWidth="1"/>
    <col min="15105" max="15105" width="20.5703125" customWidth="1"/>
    <col min="15106" max="15106" width="7.140625" bestFit="1" customWidth="1"/>
    <col min="15107" max="15108" width="11.140625" customWidth="1"/>
    <col min="15109" max="15109" width="12.7109375" customWidth="1"/>
    <col min="15110" max="15110" width="10" bestFit="1" customWidth="1"/>
    <col min="15111" max="15111" width="13.85546875" customWidth="1"/>
    <col min="15361" max="15361" width="20.5703125" customWidth="1"/>
    <col min="15362" max="15362" width="7.140625" bestFit="1" customWidth="1"/>
    <col min="15363" max="15364" width="11.140625" customWidth="1"/>
    <col min="15365" max="15365" width="12.7109375" customWidth="1"/>
    <col min="15366" max="15366" width="10" bestFit="1" customWidth="1"/>
    <col min="15367" max="15367" width="13.85546875" customWidth="1"/>
    <col min="15617" max="15617" width="20.5703125" customWidth="1"/>
    <col min="15618" max="15618" width="7.140625" bestFit="1" customWidth="1"/>
    <col min="15619" max="15620" width="11.140625" customWidth="1"/>
    <col min="15621" max="15621" width="12.7109375" customWidth="1"/>
    <col min="15622" max="15622" width="10" bestFit="1" customWidth="1"/>
    <col min="15623" max="15623" width="13.85546875" customWidth="1"/>
    <col min="15873" max="15873" width="20.5703125" customWidth="1"/>
    <col min="15874" max="15874" width="7.140625" bestFit="1" customWidth="1"/>
    <col min="15875" max="15876" width="11.140625" customWidth="1"/>
    <col min="15877" max="15877" width="12.7109375" customWidth="1"/>
    <col min="15878" max="15878" width="10" bestFit="1" customWidth="1"/>
    <col min="15879" max="15879" width="13.85546875" customWidth="1"/>
    <col min="16129" max="16129" width="20.5703125" customWidth="1"/>
    <col min="16130" max="16130" width="7.140625" bestFit="1" customWidth="1"/>
    <col min="16131" max="16132" width="11.140625" customWidth="1"/>
    <col min="16133" max="16133" width="12.7109375" customWidth="1"/>
    <col min="16134" max="16134" width="10" bestFit="1" customWidth="1"/>
    <col min="16135" max="16135" width="13.85546875" customWidth="1"/>
  </cols>
  <sheetData>
    <row r="1" spans="1:14" x14ac:dyDescent="0.25">
      <c r="A1" s="46" t="s">
        <v>61</v>
      </c>
      <c r="B1" s="46"/>
      <c r="C1" s="46"/>
      <c r="D1" s="47">
        <v>0.7</v>
      </c>
      <c r="F1" s="4"/>
      <c r="G1" s="4"/>
      <c r="H1" s="4"/>
    </row>
    <row r="2" spans="1:14" x14ac:dyDescent="0.25">
      <c r="A2" s="46" t="s">
        <v>12</v>
      </c>
      <c r="B2" s="46"/>
      <c r="C2" s="46"/>
      <c r="D2" s="46"/>
      <c r="F2" s="4"/>
      <c r="G2" s="4"/>
      <c r="H2" s="4"/>
    </row>
    <row r="3" spans="1:14" x14ac:dyDescent="0.25">
      <c r="A3" s="48"/>
      <c r="F3" s="4"/>
      <c r="G3" s="4"/>
      <c r="H3" s="49"/>
      <c r="I3" s="19"/>
      <c r="J3" s="19"/>
      <c r="K3" s="19"/>
      <c r="L3" s="19"/>
      <c r="M3" s="19"/>
      <c r="N3" s="19"/>
    </row>
    <row r="4" spans="1:14" x14ac:dyDescent="0.25">
      <c r="A4" s="50" t="s">
        <v>84</v>
      </c>
      <c r="B4" s="51" t="s">
        <v>31</v>
      </c>
      <c r="C4" s="51" t="s">
        <v>32</v>
      </c>
      <c r="D4" s="51" t="s">
        <v>170</v>
      </c>
      <c r="E4" s="52" t="s">
        <v>171</v>
      </c>
      <c r="F4" s="53"/>
      <c r="G4" s="53"/>
      <c r="H4" s="49"/>
      <c r="I4" s="19"/>
      <c r="J4" s="19"/>
      <c r="K4" s="19"/>
      <c r="L4" s="19"/>
      <c r="M4" s="19"/>
      <c r="N4" s="19"/>
    </row>
    <row r="5" spans="1:14" x14ac:dyDescent="0.25">
      <c r="A5" s="48" t="s">
        <v>172</v>
      </c>
      <c r="B5" s="51" t="s">
        <v>38</v>
      </c>
      <c r="C5" s="54">
        <v>2500</v>
      </c>
      <c r="D5" s="54">
        <f t="shared" ref="D5:D15" si="0">$D$1*C5</f>
        <v>1750</v>
      </c>
      <c r="E5" s="55">
        <v>27426</v>
      </c>
      <c r="F5" s="56"/>
      <c r="G5" s="56"/>
      <c r="H5" s="19"/>
      <c r="I5" s="19"/>
      <c r="J5" s="19"/>
      <c r="K5" s="19"/>
      <c r="L5" s="19"/>
    </row>
    <row r="6" spans="1:14" x14ac:dyDescent="0.25">
      <c r="A6" s="48" t="s">
        <v>173</v>
      </c>
      <c r="B6" s="51" t="s">
        <v>38</v>
      </c>
      <c r="C6" s="54">
        <v>3600</v>
      </c>
      <c r="D6" s="54">
        <f t="shared" si="0"/>
        <v>2520</v>
      </c>
      <c r="E6" s="55">
        <v>31168</v>
      </c>
      <c r="F6" s="56"/>
      <c r="G6" s="56"/>
      <c r="H6" s="19"/>
      <c r="I6" s="19"/>
      <c r="J6" s="19"/>
      <c r="K6" s="19"/>
      <c r="L6" s="19"/>
    </row>
    <row r="7" spans="1:14" x14ac:dyDescent="0.25">
      <c r="A7" s="48" t="s">
        <v>174</v>
      </c>
      <c r="B7" s="51" t="s">
        <v>38</v>
      </c>
      <c r="C7" s="54">
        <v>3560</v>
      </c>
      <c r="D7" s="54">
        <f t="shared" si="0"/>
        <v>2492</v>
      </c>
      <c r="E7" s="55">
        <v>32993</v>
      </c>
      <c r="F7" s="56"/>
      <c r="G7" s="56"/>
      <c r="H7" s="49"/>
      <c r="I7" s="19"/>
      <c r="J7" s="19"/>
      <c r="K7" s="19"/>
      <c r="L7" s="19"/>
      <c r="M7" s="19"/>
      <c r="N7" s="19"/>
    </row>
    <row r="8" spans="1:14" x14ac:dyDescent="0.25">
      <c r="A8" s="48" t="s">
        <v>175</v>
      </c>
      <c r="B8" s="51" t="s">
        <v>38</v>
      </c>
      <c r="C8" s="54">
        <v>4500</v>
      </c>
      <c r="D8" s="54">
        <f t="shared" si="0"/>
        <v>3150</v>
      </c>
      <c r="E8" s="55">
        <v>28671</v>
      </c>
      <c r="F8" s="56"/>
      <c r="G8" s="56"/>
      <c r="H8" s="57"/>
      <c r="I8" s="19"/>
      <c r="J8" s="19"/>
      <c r="K8" s="19"/>
      <c r="L8" s="19"/>
      <c r="M8" s="19"/>
      <c r="N8" s="19"/>
    </row>
    <row r="9" spans="1:14" x14ac:dyDescent="0.25">
      <c r="A9" s="48" t="s">
        <v>176</v>
      </c>
      <c r="B9" s="51" t="s">
        <v>38</v>
      </c>
      <c r="C9" s="54">
        <v>9000</v>
      </c>
      <c r="D9" s="54">
        <f t="shared" si="0"/>
        <v>6300</v>
      </c>
      <c r="E9" s="55">
        <v>36220</v>
      </c>
      <c r="F9" s="56"/>
      <c r="G9" s="56"/>
    </row>
    <row r="10" spans="1:14" x14ac:dyDescent="0.25">
      <c r="A10" s="48" t="s">
        <v>177</v>
      </c>
      <c r="B10" s="51" t="s">
        <v>38</v>
      </c>
      <c r="C10" s="54">
        <v>3321</v>
      </c>
      <c r="D10" s="54">
        <f t="shared" si="0"/>
        <v>2324.6999999999998</v>
      </c>
      <c r="E10" s="55">
        <v>36676</v>
      </c>
      <c r="F10" s="56"/>
      <c r="G10" s="56"/>
      <c r="H10" s="56"/>
    </row>
    <row r="11" spans="1:14" x14ac:dyDescent="0.25">
      <c r="A11" s="48" t="s">
        <v>178</v>
      </c>
      <c r="B11" s="51" t="s">
        <v>45</v>
      </c>
      <c r="C11" s="54">
        <v>2500</v>
      </c>
      <c r="D11" s="54">
        <f t="shared" si="0"/>
        <v>1750</v>
      </c>
      <c r="E11" s="55">
        <v>36768</v>
      </c>
      <c r="F11" s="56"/>
      <c r="G11" s="58"/>
      <c r="H11" s="56"/>
    </row>
    <row r="12" spans="1:14" x14ac:dyDescent="0.25">
      <c r="A12" s="48" t="s">
        <v>179</v>
      </c>
      <c r="B12" s="51" t="s">
        <v>45</v>
      </c>
      <c r="C12" s="54">
        <v>6300</v>
      </c>
      <c r="D12" s="54">
        <f t="shared" si="0"/>
        <v>4410</v>
      </c>
      <c r="E12" s="55">
        <v>32431</v>
      </c>
      <c r="F12" s="56"/>
      <c r="G12" s="56"/>
      <c r="H12" s="56"/>
    </row>
    <row r="13" spans="1:14" x14ac:dyDescent="0.25">
      <c r="A13" s="48" t="s">
        <v>180</v>
      </c>
      <c r="B13" s="51" t="s">
        <v>45</v>
      </c>
      <c r="C13" s="54">
        <v>2350</v>
      </c>
      <c r="D13" s="54">
        <f t="shared" si="0"/>
        <v>1645</v>
      </c>
      <c r="E13" s="55">
        <v>35560</v>
      </c>
      <c r="F13" s="56"/>
      <c r="G13" s="59"/>
      <c r="H13" s="56"/>
    </row>
    <row r="14" spans="1:14" x14ac:dyDescent="0.25">
      <c r="A14" s="48" t="s">
        <v>181</v>
      </c>
      <c r="B14" s="51" t="s">
        <v>45</v>
      </c>
      <c r="C14" s="54">
        <v>2500</v>
      </c>
      <c r="D14" s="54">
        <f t="shared" si="0"/>
        <v>1750</v>
      </c>
      <c r="E14" s="55">
        <v>33552</v>
      </c>
      <c r="F14" s="56"/>
      <c r="G14" s="56"/>
      <c r="H14" s="56"/>
    </row>
    <row r="15" spans="1:14" x14ac:dyDescent="0.25">
      <c r="A15" s="48" t="s">
        <v>182</v>
      </c>
      <c r="B15" s="51" t="s">
        <v>45</v>
      </c>
      <c r="C15" s="54">
        <v>1500</v>
      </c>
      <c r="D15" s="54">
        <f t="shared" si="0"/>
        <v>1050</v>
      </c>
      <c r="E15" s="55">
        <v>35222</v>
      </c>
      <c r="F15" s="56"/>
      <c r="G15" s="56"/>
      <c r="H15" s="56"/>
    </row>
    <row r="16" spans="1:14" x14ac:dyDescent="0.25">
      <c r="B16" s="7"/>
      <c r="C16" s="7" t="s">
        <v>12</v>
      </c>
      <c r="D16" s="7"/>
      <c r="E16" s="7"/>
      <c r="F16" s="7"/>
      <c r="G16" s="60"/>
      <c r="H16" s="60"/>
    </row>
    <row r="17" spans="1:8" x14ac:dyDescent="0.25">
      <c r="A17" s="48" t="s">
        <v>184</v>
      </c>
      <c r="B17" s="7"/>
      <c r="C17" s="76">
        <f>SUM(C5:C10)</f>
        <v>26481</v>
      </c>
      <c r="D17" s="76">
        <f>SUM(D5:D10)</f>
        <v>18536.7</v>
      </c>
      <c r="E17" s="7"/>
      <c r="F17" s="7"/>
      <c r="G17" s="60"/>
      <c r="H17" s="49" t="s">
        <v>192</v>
      </c>
    </row>
    <row r="18" spans="1:8" x14ac:dyDescent="0.25">
      <c r="A18" s="48" t="s">
        <v>183</v>
      </c>
      <c r="B18" s="7"/>
      <c r="C18" s="76">
        <f>SUM(C11:C15)</f>
        <v>15150</v>
      </c>
      <c r="D18" s="76">
        <f>SUM(D11:D15)</f>
        <v>10605</v>
      </c>
      <c r="E18" s="7"/>
      <c r="F18" s="7"/>
      <c r="G18" s="60"/>
      <c r="H18" s="49" t="s">
        <v>185</v>
      </c>
    </row>
    <row r="19" spans="1:8" x14ac:dyDescent="0.25">
      <c r="A19" s="48" t="s">
        <v>186</v>
      </c>
      <c r="B19" s="7" t="s">
        <v>12</v>
      </c>
      <c r="C19" s="76">
        <f>AVERAGE(C5:C10)</f>
        <v>4413.5</v>
      </c>
      <c r="D19" s="76">
        <f>AVERAGE(D5:D10)</f>
        <v>3089.4500000000003</v>
      </c>
      <c r="E19" s="7"/>
      <c r="F19" s="7"/>
      <c r="G19" s="60"/>
      <c r="H19" s="49" t="s">
        <v>185</v>
      </c>
    </row>
    <row r="20" spans="1:8" x14ac:dyDescent="0.25">
      <c r="A20" s="48" t="s">
        <v>187</v>
      </c>
      <c r="B20" s="7" t="s">
        <v>12</v>
      </c>
      <c r="C20" s="76">
        <f>AVERAGE(C12:C15)</f>
        <v>3162.5</v>
      </c>
      <c r="D20" s="77">
        <f>AVERAGE(D12:D15)</f>
        <v>2213.75</v>
      </c>
      <c r="E20" s="7"/>
      <c r="F20" s="7"/>
      <c r="G20" s="60"/>
      <c r="H20" s="49" t="s">
        <v>185</v>
      </c>
    </row>
    <row r="21" spans="1:8" x14ac:dyDescent="0.25">
      <c r="B21" s="7"/>
      <c r="C21" s="7"/>
      <c r="D21" s="7"/>
      <c r="E21" s="7"/>
      <c r="F21" s="7"/>
      <c r="G21" s="60"/>
      <c r="H21" s="60"/>
    </row>
    <row r="22" spans="1:8" x14ac:dyDescent="0.25">
      <c r="B22" s="7"/>
      <c r="C22" s="7"/>
      <c r="D22" s="7"/>
      <c r="E22" s="7"/>
      <c r="F22" s="7"/>
      <c r="G22" s="60"/>
      <c r="H22" s="60"/>
    </row>
    <row r="23" spans="1:8" x14ac:dyDescent="0.25">
      <c r="B23" s="7"/>
      <c r="C23" s="7"/>
      <c r="D23" s="7"/>
      <c r="E23" s="7"/>
      <c r="F23" s="7"/>
      <c r="G23" s="60"/>
      <c r="H23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Ex 00</vt:lpstr>
      <vt:lpstr>Ex 01</vt:lpstr>
      <vt:lpstr>Ex 02</vt:lpstr>
      <vt:lpstr>Ex 03</vt:lpstr>
      <vt:lpstr>Ex 04</vt:lpstr>
      <vt:lpstr>Ex 05</vt:lpstr>
      <vt:lpstr>Ex 06</vt:lpstr>
      <vt:lpstr>Ex 07</vt:lpstr>
      <vt:lpstr>Extra</vt:lpstr>
      <vt:lpstr>SalLiquido</vt:lpstr>
    </vt:vector>
  </TitlesOfParts>
  <Company>Nextel Telecomunicacoes Ltda.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mteixei2</dc:creator>
  <cp:lastModifiedBy>Simone</cp:lastModifiedBy>
  <cp:lastPrinted>2009-09-10T00:29:39Z</cp:lastPrinted>
  <dcterms:created xsi:type="dcterms:W3CDTF">2008-08-29T01:56:15Z</dcterms:created>
  <dcterms:modified xsi:type="dcterms:W3CDTF">2018-08-20T23:53:30Z</dcterms:modified>
</cp:coreProperties>
</file>