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Manoel\Documents\02 TEIXEIRA\FATECs\FATEC ZL\00 2014\ADS\PMI\02 Semestre\07 Contéudo das Aulas\01 EXC\03 Aulas\Aula 06\"/>
    </mc:Choice>
  </mc:AlternateContent>
  <bookViews>
    <workbookView xWindow="120" yWindow="120" windowWidth="12120" windowHeight="8835"/>
  </bookViews>
  <sheets>
    <sheet name="Plan1" sheetId="1" r:id="rId1"/>
  </sheets>
  <definedNames>
    <definedName name="_xlnm.Print_Area" localSheetId="0">Plan1!$A$1:$F$28</definedName>
  </definedNames>
  <calcPr calcId="152511"/>
</workbook>
</file>

<file path=xl/calcChain.xml><?xml version="1.0" encoding="utf-8"?>
<calcChain xmlns="http://schemas.openxmlformats.org/spreadsheetml/2006/main">
  <c r="B7" i="1" l="1"/>
  <c r="E9" i="1"/>
  <c r="B8" i="1"/>
  <c r="B21" i="1"/>
  <c r="E10" i="1"/>
  <c r="B16" i="1"/>
  <c r="B14" i="1"/>
  <c r="B12" i="1"/>
  <c r="B10" i="1"/>
  <c r="B9" i="1"/>
  <c r="B17" i="1"/>
  <c r="B19" i="1"/>
  <c r="B23" i="1"/>
  <c r="B24" i="1" s="1"/>
  <c r="B22" i="1"/>
  <c r="E20" i="1"/>
  <c r="B20" i="1"/>
  <c r="B11" i="1"/>
  <c r="B18" i="1"/>
  <c r="B13" i="1"/>
</calcChain>
</file>

<file path=xl/sharedStrings.xml><?xml version="1.0" encoding="utf-8"?>
<sst xmlns="http://schemas.openxmlformats.org/spreadsheetml/2006/main" count="55" uniqueCount="43">
  <si>
    <t>Número de Mulheres</t>
  </si>
  <si>
    <t>Carne</t>
  </si>
  <si>
    <t>Cerveja</t>
  </si>
  <si>
    <t>Refrigerante</t>
  </si>
  <si>
    <t>Latas</t>
  </si>
  <si>
    <t>Garrafas 2l</t>
  </si>
  <si>
    <t>Lingüiça</t>
  </si>
  <si>
    <t>Pães</t>
  </si>
  <si>
    <t>Unidades</t>
  </si>
  <si>
    <t>Caixa de 12 Latas</t>
  </si>
  <si>
    <t>Litros</t>
  </si>
  <si>
    <t>Farofa Temperada</t>
  </si>
  <si>
    <t>Carvão</t>
  </si>
  <si>
    <t>Sacos</t>
  </si>
  <si>
    <t>Guardanapos</t>
  </si>
  <si>
    <t>Álcool</t>
  </si>
  <si>
    <t>Pano de Prato</t>
  </si>
  <si>
    <t>Pratos</t>
  </si>
  <si>
    <t>Facas Churrasqueiro</t>
  </si>
  <si>
    <t>Garfos</t>
  </si>
  <si>
    <t>Copos plásticos</t>
  </si>
  <si>
    <t>=</t>
  </si>
  <si>
    <t>Embalagens c/20</t>
  </si>
  <si>
    <t>Embalagens c/50</t>
  </si>
  <si>
    <t>Sal Grosso</t>
  </si>
  <si>
    <t>Limão</t>
  </si>
  <si>
    <t>Pinga</t>
  </si>
  <si>
    <t>Litro</t>
  </si>
  <si>
    <t>Açucar</t>
  </si>
  <si>
    <t>Sacos 1kg</t>
  </si>
  <si>
    <t>kg</t>
  </si>
  <si>
    <t>Churras Calculator</t>
  </si>
  <si>
    <t>Número de Homens</t>
  </si>
  <si>
    <t>Simulador de Animação</t>
  </si>
  <si>
    <t>Inventário</t>
  </si>
  <si>
    <t>Churrasco de familia....</t>
  </si>
  <si>
    <t>"Animal !" -Diversão, risadas, alegria e descontração garantida!</t>
  </si>
  <si>
    <t>"Churras da galera" - boas diversão, piadas.</t>
  </si>
  <si>
    <t>Desequilíbridado: Chama mais Homens !</t>
  </si>
  <si>
    <t>Desequilíbridado: Chama mais Mulheres !</t>
  </si>
  <si>
    <t xml:space="preserve"> </t>
  </si>
  <si>
    <t>É só preencher os dois campos Amarelos (Numero de Homens e de Mulheres), o resto é automático....</t>
  </si>
  <si>
    <t>Sei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</si>
</sst>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 &quot;#,##0.00"/>
  </numFmts>
  <fonts count="11" x14ac:knownFonts="1">
    <font>
      <sz val="10"/>
      <name val="Arial"/>
    </font>
    <font>
      <b/>
      <sz val="12"/>
      <name val="Arial Narrow"/>
      <family val="2"/>
    </font>
    <font>
      <sz val="10"/>
      <color indexed="9"/>
      <name val="Arial Narrow"/>
      <family val="2"/>
    </font>
    <font>
      <sz val="12"/>
      <color indexed="9"/>
      <name val="Arial Narrow"/>
      <family val="2"/>
    </font>
    <font>
      <sz val="12"/>
      <name val="Arial Narrow"/>
      <family val="2"/>
    </font>
    <font>
      <b/>
      <sz val="26"/>
      <name val="Tahoma"/>
      <family val="2"/>
    </font>
    <font>
      <b/>
      <sz val="8"/>
      <name val="Arial Narrow"/>
      <family val="2"/>
    </font>
    <font>
      <sz val="12"/>
      <color indexed="22"/>
      <name val="Arial Narrow"/>
      <family val="2"/>
    </font>
    <font>
      <sz val="8"/>
      <name val="Tahoma"/>
      <family val="2"/>
    </font>
    <font>
      <sz val="36"/>
      <name val="Arial Narrow"/>
      <family val="2"/>
    </font>
    <font>
      <sz val="12"/>
      <color theme="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/>
    <xf numFmtId="0" fontId="4" fillId="0" borderId="1" xfId="0" applyFont="1" applyBorder="1"/>
    <xf numFmtId="0" fontId="1" fillId="0" borderId="0" xfId="0" applyFont="1"/>
    <xf numFmtId="1" fontId="1" fillId="2" borderId="2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1" fillId="0" borderId="1" xfId="0" applyNumberFormat="1" applyFont="1" applyBorder="1"/>
    <xf numFmtId="1" fontId="1" fillId="0" borderId="4" xfId="0" applyNumberFormat="1" applyFont="1" applyBorder="1"/>
    <xf numFmtId="0" fontId="4" fillId="0" borderId="4" xfId="0" applyFont="1" applyBorder="1"/>
    <xf numFmtId="2" fontId="1" fillId="0" borderId="5" xfId="0" applyNumberFormat="1" applyFont="1" applyBorder="1"/>
    <xf numFmtId="0" fontId="4" fillId="0" borderId="5" xfId="0" applyFont="1" applyBorder="1"/>
    <xf numFmtId="2" fontId="1" fillId="0" borderId="6" xfId="0" applyNumberFormat="1" applyFont="1" applyBorder="1"/>
    <xf numFmtId="0" fontId="4" fillId="0" borderId="6" xfId="0" applyFont="1" applyBorder="1"/>
    <xf numFmtId="1" fontId="1" fillId="0" borderId="5" xfId="0" applyNumberFormat="1" applyFont="1" applyBorder="1"/>
    <xf numFmtId="0" fontId="4" fillId="0" borderId="5" xfId="0" quotePrefix="1" applyFont="1" applyBorder="1" applyAlignment="1">
      <alignment horizontal="center"/>
    </xf>
    <xf numFmtId="1" fontId="1" fillId="0" borderId="6" xfId="0" applyNumberFormat="1" applyFont="1" applyBorder="1"/>
    <xf numFmtId="0" fontId="1" fillId="0" borderId="6" xfId="0" quotePrefix="1" applyFont="1" applyBorder="1" applyAlignment="1">
      <alignment horizontal="center"/>
    </xf>
    <xf numFmtId="0" fontId="4" fillId="3" borderId="5" xfId="0" applyFont="1" applyFill="1" applyBorder="1"/>
    <xf numFmtId="0" fontId="4" fillId="3" borderId="6" xfId="0" applyFont="1" applyFill="1" applyBorder="1"/>
    <xf numFmtId="0" fontId="4" fillId="3" borderId="4" xfId="0" applyFont="1" applyFill="1" applyBorder="1"/>
    <xf numFmtId="0" fontId="4" fillId="3" borderId="1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1" fontId="4" fillId="0" borderId="0" xfId="0" applyNumberFormat="1" applyFont="1" applyBorder="1"/>
    <xf numFmtId="0" fontId="1" fillId="3" borderId="10" xfId="0" applyFont="1" applyFill="1" applyBorder="1"/>
    <xf numFmtId="0" fontId="1" fillId="3" borderId="8" xfId="0" applyFont="1" applyFill="1" applyBorder="1"/>
    <xf numFmtId="1" fontId="1" fillId="4" borderId="11" xfId="0" applyNumberFormat="1" applyFont="1" applyFill="1" applyBorder="1" applyAlignment="1">
      <alignment horizontal="center"/>
    </xf>
    <xf numFmtId="0" fontId="1" fillId="4" borderId="11" xfId="0" applyFont="1" applyFill="1" applyBorder="1"/>
    <xf numFmtId="0" fontId="1" fillId="4" borderId="11" xfId="0" applyFont="1" applyFill="1" applyBorder="1" applyAlignment="1">
      <alignment horizontal="center"/>
    </xf>
    <xf numFmtId="2" fontId="4" fillId="4" borderId="12" xfId="0" applyNumberFormat="1" applyFont="1" applyFill="1" applyBorder="1"/>
    <xf numFmtId="0" fontId="4" fillId="4" borderId="12" xfId="0" applyFont="1" applyFill="1" applyBorder="1"/>
    <xf numFmtId="0" fontId="1" fillId="4" borderId="12" xfId="0" applyFont="1" applyFill="1" applyBorder="1"/>
    <xf numFmtId="0" fontId="5" fillId="3" borderId="13" xfId="0" applyFont="1" applyFill="1" applyBorder="1" applyAlignment="1">
      <alignment horizontal="center" vertical="center"/>
    </xf>
    <xf numFmtId="164" fontId="4" fillId="0" borderId="0" xfId="0" applyNumberFormat="1" applyFont="1"/>
    <xf numFmtId="0" fontId="5" fillId="3" borderId="15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right" vertical="center"/>
    </xf>
    <xf numFmtId="0" fontId="4" fillId="0" borderId="20" xfId="0" applyFont="1" applyBorder="1"/>
    <xf numFmtId="0" fontId="4" fillId="0" borderId="15" xfId="0" applyFont="1" applyBorder="1"/>
    <xf numFmtId="0" fontId="1" fillId="4" borderId="24" xfId="0" applyFont="1" applyFill="1" applyBorder="1"/>
    <xf numFmtId="0" fontId="6" fillId="4" borderId="25" xfId="0" applyFont="1" applyFill="1" applyBorder="1" applyAlignment="1">
      <alignment horizontal="right"/>
    </xf>
    <xf numFmtId="0" fontId="3" fillId="6" borderId="26" xfId="0" applyFont="1" applyFill="1" applyBorder="1" applyAlignment="1">
      <alignment horizontal="right"/>
    </xf>
    <xf numFmtId="0" fontId="4" fillId="3" borderId="27" xfId="0" applyFont="1" applyFill="1" applyBorder="1"/>
    <xf numFmtId="0" fontId="3" fillId="6" borderId="28" xfId="0" applyFont="1" applyFill="1" applyBorder="1" applyAlignment="1">
      <alignment horizontal="right"/>
    </xf>
    <xf numFmtId="0" fontId="4" fillId="3" borderId="29" xfId="0" applyFont="1" applyFill="1" applyBorder="1"/>
    <xf numFmtId="0" fontId="4" fillId="0" borderId="27" xfId="0" applyFont="1" applyBorder="1"/>
    <xf numFmtId="0" fontId="4" fillId="0" borderId="29" xfId="0" applyFont="1" applyBorder="1"/>
    <xf numFmtId="0" fontId="3" fillId="6" borderId="30" xfId="0" applyFont="1" applyFill="1" applyBorder="1" applyAlignment="1">
      <alignment horizontal="right"/>
    </xf>
    <xf numFmtId="0" fontId="4" fillId="3" borderId="31" xfId="0" applyFont="1" applyFill="1" applyBorder="1"/>
    <xf numFmtId="0" fontId="3" fillId="6" borderId="32" xfId="0" applyFont="1" applyFill="1" applyBorder="1" applyAlignment="1">
      <alignment horizontal="right"/>
    </xf>
    <xf numFmtId="0" fontId="4" fillId="3" borderId="33" xfId="0" applyFont="1" applyFill="1" applyBorder="1"/>
    <xf numFmtId="0" fontId="4" fillId="0" borderId="21" xfId="0" applyFont="1" applyBorder="1"/>
    <xf numFmtId="0" fontId="1" fillId="4" borderId="14" xfId="0" applyFont="1" applyFill="1" applyBorder="1"/>
    <xf numFmtId="0" fontId="4" fillId="4" borderId="23" xfId="0" applyFont="1" applyFill="1" applyBorder="1"/>
    <xf numFmtId="0" fontId="10" fillId="7" borderId="0" xfId="0" applyFont="1" applyFill="1"/>
    <xf numFmtId="0" fontId="7" fillId="0" borderId="16" xfId="0" applyFont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9" fillId="0" borderId="0" xfId="0" applyFont="1" applyAlignment="1">
      <alignment vertical="top" wrapText="1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7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FF0000"/>
        </patternFill>
      </fill>
    </dxf>
    <dxf>
      <font>
        <condense val="0"/>
        <extend val="0"/>
        <color indexed="8"/>
      </font>
      <fill>
        <patternFill>
          <bgColor indexed="10"/>
        </patternFill>
      </fill>
    </dxf>
    <dxf>
      <font>
        <condense val="0"/>
        <extend val="0"/>
        <color indexed="8"/>
      </font>
      <fill>
        <patternFill>
          <bgColor rgb="FFFF0000"/>
        </patternFill>
      </fill>
    </dxf>
    <dxf>
      <font>
        <condense val="0"/>
        <extend val="0"/>
        <color indexed="8"/>
      </font>
      <fill>
        <patternFill>
          <bgColor indexed="10"/>
        </patternFill>
      </fill>
    </dxf>
    <dxf>
      <font>
        <condense val="0"/>
        <extend val="0"/>
        <color indexed="8"/>
      </font>
      <fill>
        <patternFill>
          <bgColor indexed="51"/>
        </patternFill>
      </fill>
    </dxf>
    <dxf>
      <font>
        <condense val="0"/>
        <extend val="0"/>
        <color indexed="8"/>
      </font>
      <fill>
        <patternFill>
          <bgColor indexed="11"/>
        </patternFill>
      </fill>
    </dxf>
    <dxf>
      <font>
        <condense val="0"/>
        <extend val="0"/>
        <color indexed="8"/>
      </font>
      <fill>
        <patternFill>
          <bgColor indexed="10"/>
        </patternFill>
      </fill>
    </dxf>
    <dxf>
      <font>
        <condense val="0"/>
        <extend val="0"/>
        <color indexed="8"/>
      </font>
      <fill>
        <patternFill>
          <bgColor rgb="FFFF0000"/>
        </patternFill>
      </fill>
    </dxf>
    <dxf>
      <font>
        <condense val="0"/>
        <extend val="0"/>
        <color indexed="8"/>
      </font>
      <fill>
        <patternFill>
          <bgColor indexed="10"/>
        </patternFill>
      </fill>
    </dxf>
    <dxf>
      <font>
        <condense val="0"/>
        <extend val="0"/>
        <color indexed="8"/>
      </font>
      <fill>
        <patternFill>
          <bgColor indexed="51"/>
        </patternFill>
      </fill>
    </dxf>
    <dxf>
      <font>
        <condense val="0"/>
        <extend val="0"/>
        <color indexed="8"/>
      </font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R28"/>
  <sheetViews>
    <sheetView showGridLines="0" tabSelected="1" zoomScale="85" workbookViewId="0">
      <selection activeCell="B5" sqref="B5"/>
    </sheetView>
  </sheetViews>
  <sheetFormatPr defaultRowHeight="15.75" x14ac:dyDescent="0.25"/>
  <cols>
    <col min="1" max="1" width="18.42578125" style="1" bestFit="1" customWidth="1"/>
    <col min="2" max="2" width="7" style="1" bestFit="1" customWidth="1"/>
    <col min="3" max="3" width="16.140625" style="1" bestFit="1" customWidth="1"/>
    <col min="4" max="4" width="2.140625" style="3" bestFit="1" customWidth="1"/>
    <col min="5" max="5" width="7.140625" style="1" customWidth="1"/>
    <col min="6" max="6" width="18.5703125" style="1" bestFit="1" customWidth="1"/>
    <col min="7" max="7" width="10" style="1" bestFit="1" customWidth="1"/>
    <col min="8" max="8" width="11.5703125" style="1" bestFit="1" customWidth="1"/>
    <col min="9" max="9" width="12.42578125" style="1" bestFit="1" customWidth="1"/>
    <col min="10" max="12" width="9.5703125" style="1" bestFit="1" customWidth="1"/>
    <col min="13" max="16384" width="9.140625" style="1"/>
  </cols>
  <sheetData>
    <row r="1" spans="1:18" ht="15.75" customHeight="1" x14ac:dyDescent="0.25">
      <c r="A1" s="65" t="s">
        <v>31</v>
      </c>
      <c r="B1" s="66"/>
      <c r="C1" s="66"/>
      <c r="D1" s="66"/>
      <c r="E1" s="66"/>
      <c r="F1" s="67"/>
    </row>
    <row r="2" spans="1:18" x14ac:dyDescent="0.25">
      <c r="A2" s="68"/>
      <c r="B2" s="69"/>
      <c r="C2" s="69"/>
      <c r="D2" s="69"/>
      <c r="E2" s="69"/>
      <c r="F2" s="70"/>
    </row>
    <row r="3" spans="1:18" ht="10.5" customHeight="1" thickBot="1" x14ac:dyDescent="0.3">
      <c r="A3" s="37"/>
      <c r="B3" s="35"/>
      <c r="C3" s="35"/>
      <c r="D3" s="35"/>
      <c r="E3" s="35"/>
      <c r="F3" s="38" t="s">
        <v>40</v>
      </c>
    </row>
    <row r="4" spans="1:18" x14ac:dyDescent="0.25">
      <c r="A4" s="39" t="s">
        <v>32</v>
      </c>
      <c r="B4" s="4">
        <v>90</v>
      </c>
      <c r="C4" s="58" t="s">
        <v>38</v>
      </c>
      <c r="D4" s="59"/>
      <c r="E4" s="59"/>
      <c r="F4" s="60"/>
      <c r="N4" s="64" t="s">
        <v>41</v>
      </c>
      <c r="O4" s="64"/>
      <c r="P4" s="64"/>
      <c r="Q4" s="64"/>
      <c r="R4" s="64"/>
    </row>
    <row r="5" spans="1:18" ht="16.5" thickBot="1" x14ac:dyDescent="0.3">
      <c r="A5" s="40" t="s">
        <v>0</v>
      </c>
      <c r="B5" s="5">
        <v>3</v>
      </c>
      <c r="C5" s="61" t="s">
        <v>39</v>
      </c>
      <c r="D5" s="62"/>
      <c r="E5" s="62"/>
      <c r="F5" s="63"/>
      <c r="N5" s="64"/>
      <c r="O5" s="64"/>
      <c r="P5" s="64"/>
      <c r="Q5" s="64"/>
      <c r="R5" s="64"/>
    </row>
    <row r="6" spans="1:18" ht="16.5" thickBot="1" x14ac:dyDescent="0.3">
      <c r="A6" s="41" t="s">
        <v>34</v>
      </c>
      <c r="B6" s="29"/>
      <c r="C6" s="30"/>
      <c r="D6" s="31"/>
      <c r="E6" s="30"/>
      <c r="F6" s="42"/>
      <c r="N6" s="64"/>
      <c r="O6" s="64"/>
      <c r="P6" s="64"/>
      <c r="Q6" s="64"/>
      <c r="R6" s="64"/>
    </row>
    <row r="7" spans="1:18" x14ac:dyDescent="0.25">
      <c r="A7" s="43" t="s">
        <v>6</v>
      </c>
      <c r="B7" s="9">
        <f>ROUNDUP(B4*0.25+B5*0.2,1)</f>
        <v>23.1</v>
      </c>
      <c r="C7" s="10" t="s">
        <v>30</v>
      </c>
      <c r="D7" s="21"/>
      <c r="E7" s="17"/>
      <c r="F7" s="44"/>
      <c r="N7" s="64"/>
      <c r="O7" s="64"/>
      <c r="P7" s="64"/>
      <c r="Q7" s="64"/>
      <c r="R7" s="64"/>
    </row>
    <row r="8" spans="1:18" ht="16.5" thickBot="1" x14ac:dyDescent="0.3">
      <c r="A8" s="45" t="s">
        <v>1</v>
      </c>
      <c r="B8" s="11">
        <f>ROUNDUP(B4*0.32+B5*0.3,1)</f>
        <v>29.7</v>
      </c>
      <c r="C8" s="12" t="s">
        <v>30</v>
      </c>
      <c r="D8" s="22"/>
      <c r="E8" s="18"/>
      <c r="F8" s="46"/>
      <c r="N8" s="64"/>
      <c r="O8" s="64"/>
      <c r="P8" s="64"/>
      <c r="Q8" s="64"/>
      <c r="R8" s="64"/>
    </row>
    <row r="9" spans="1:18" x14ac:dyDescent="0.25">
      <c r="A9" s="43" t="s">
        <v>2</v>
      </c>
      <c r="B9" s="13">
        <f>ROUNDUP((B4*6+B5*4)/12,0)</f>
        <v>46</v>
      </c>
      <c r="C9" s="10" t="s">
        <v>9</v>
      </c>
      <c r="D9" s="14" t="s">
        <v>21</v>
      </c>
      <c r="E9" s="10">
        <f>B4*6+B5*4</f>
        <v>552</v>
      </c>
      <c r="F9" s="47" t="s">
        <v>4</v>
      </c>
      <c r="N9" s="64"/>
      <c r="O9" s="64"/>
      <c r="P9" s="64"/>
      <c r="Q9" s="64"/>
      <c r="R9" s="64"/>
    </row>
    <row r="10" spans="1:18" ht="16.5" thickBot="1" x14ac:dyDescent="0.3">
      <c r="A10" s="45" t="s">
        <v>3</v>
      </c>
      <c r="B10" s="15">
        <f>ROUNDUP((B4*0.3+B5*0.5)/2,0)</f>
        <v>15</v>
      </c>
      <c r="C10" s="12" t="s">
        <v>5</v>
      </c>
      <c r="D10" s="16" t="s">
        <v>21</v>
      </c>
      <c r="E10" s="12">
        <f>ROUNDUP(B4*0.3+B5*0.5,0)</f>
        <v>29</v>
      </c>
      <c r="F10" s="48" t="s">
        <v>10</v>
      </c>
      <c r="N10" s="64"/>
      <c r="O10" s="64"/>
      <c r="P10" s="64"/>
      <c r="Q10" s="64"/>
      <c r="R10" s="64"/>
    </row>
    <row r="11" spans="1:18" x14ac:dyDescent="0.25">
      <c r="A11" s="43" t="s">
        <v>7</v>
      </c>
      <c r="B11" s="13">
        <f>ROUNDUP(B4*2+B5*1.5,0)</f>
        <v>185</v>
      </c>
      <c r="C11" s="10" t="s">
        <v>8</v>
      </c>
      <c r="D11" s="21"/>
      <c r="E11" s="17"/>
      <c r="F11" s="44"/>
      <c r="N11" s="64"/>
      <c r="O11" s="64"/>
      <c r="P11" s="64"/>
      <c r="Q11" s="64"/>
      <c r="R11" s="64"/>
    </row>
    <row r="12" spans="1:18" ht="16.5" thickBot="1" x14ac:dyDescent="0.3">
      <c r="A12" s="45" t="s">
        <v>11</v>
      </c>
      <c r="B12" s="15">
        <f>ROUNDUP(1+(B4*0.03+B5*0.01),0)</f>
        <v>4</v>
      </c>
      <c r="C12" s="12" t="s">
        <v>13</v>
      </c>
      <c r="D12" s="22"/>
      <c r="E12" s="18"/>
      <c r="F12" s="46"/>
      <c r="N12" s="64"/>
      <c r="O12" s="64"/>
      <c r="P12" s="64"/>
      <c r="Q12" s="64"/>
      <c r="R12" s="64"/>
    </row>
    <row r="13" spans="1:18" x14ac:dyDescent="0.25">
      <c r="A13" s="49" t="s">
        <v>12</v>
      </c>
      <c r="B13" s="7">
        <f>ROUNDUP(1+B8/7,0)</f>
        <v>6</v>
      </c>
      <c r="C13" s="8" t="s">
        <v>13</v>
      </c>
      <c r="D13" s="23"/>
      <c r="E13" s="19"/>
      <c r="F13" s="50"/>
      <c r="N13" s="64"/>
      <c r="O13" s="64"/>
      <c r="P13" s="64"/>
      <c r="Q13" s="64"/>
      <c r="R13" s="64"/>
    </row>
    <row r="14" spans="1:18" x14ac:dyDescent="0.25">
      <c r="A14" s="51" t="s">
        <v>14</v>
      </c>
      <c r="B14" s="6">
        <f>ROUNDUP(1+(B4+B5)/14,0)</f>
        <v>8</v>
      </c>
      <c r="C14" s="2" t="s">
        <v>23</v>
      </c>
      <c r="D14" s="24"/>
      <c r="E14" s="20"/>
      <c r="F14" s="52"/>
      <c r="N14" s="64"/>
      <c r="O14" s="64"/>
      <c r="P14" s="64"/>
      <c r="Q14" s="64"/>
      <c r="R14" s="64"/>
    </row>
    <row r="15" spans="1:18" x14ac:dyDescent="0.25">
      <c r="A15" s="51" t="s">
        <v>15</v>
      </c>
      <c r="B15" s="6">
        <v>1</v>
      </c>
      <c r="C15" s="2" t="s">
        <v>27</v>
      </c>
      <c r="D15" s="24"/>
      <c r="E15" s="20"/>
      <c r="F15" s="52"/>
      <c r="N15" s="64"/>
      <c r="O15" s="64"/>
      <c r="P15" s="64"/>
      <c r="Q15" s="64"/>
      <c r="R15" s="64"/>
    </row>
    <row r="16" spans="1:18" x14ac:dyDescent="0.25">
      <c r="A16" s="51" t="s">
        <v>16</v>
      </c>
      <c r="B16" s="6">
        <f>ROUNDUP((B4+B5)/10+1,0)</f>
        <v>11</v>
      </c>
      <c r="C16" s="2" t="s">
        <v>8</v>
      </c>
      <c r="D16" s="24"/>
      <c r="E16" s="20"/>
      <c r="F16" s="52"/>
      <c r="N16" s="64"/>
      <c r="O16" s="64"/>
      <c r="P16" s="64"/>
      <c r="Q16" s="64"/>
      <c r="R16" s="64"/>
    </row>
    <row r="17" spans="1:18" x14ac:dyDescent="0.25">
      <c r="A17" s="51" t="s">
        <v>18</v>
      </c>
      <c r="B17" s="6">
        <f>ROUNDUP((B4+B5)/10+2,0)</f>
        <v>12</v>
      </c>
      <c r="C17" s="2" t="s">
        <v>8</v>
      </c>
      <c r="D17" s="24"/>
      <c r="E17" s="20"/>
      <c r="F17" s="52"/>
      <c r="N17" s="64"/>
      <c r="O17" s="64"/>
      <c r="P17" s="64"/>
      <c r="Q17" s="64"/>
      <c r="R17" s="64"/>
    </row>
    <row r="18" spans="1:18" x14ac:dyDescent="0.25">
      <c r="A18" s="51" t="s">
        <v>17</v>
      </c>
      <c r="B18" s="6">
        <f>ROUNDUP(3+B4/10+B5/10,0)</f>
        <v>13</v>
      </c>
      <c r="C18" s="2" t="s">
        <v>8</v>
      </c>
      <c r="D18" s="24"/>
      <c r="E18" s="20"/>
      <c r="F18" s="52"/>
      <c r="N18" s="64"/>
      <c r="O18" s="64"/>
      <c r="P18" s="64"/>
      <c r="Q18" s="64"/>
      <c r="R18" s="64"/>
    </row>
    <row r="19" spans="1:18" ht="16.5" thickBot="1" x14ac:dyDescent="0.3">
      <c r="A19" s="51" t="s">
        <v>19</v>
      </c>
      <c r="B19" s="6">
        <f>B17</f>
        <v>12</v>
      </c>
      <c r="C19" s="2" t="s">
        <v>8</v>
      </c>
      <c r="D19" s="22"/>
      <c r="E19" s="18"/>
      <c r="F19" s="46"/>
      <c r="N19" s="64"/>
      <c r="O19" s="64"/>
      <c r="P19" s="64"/>
      <c r="Q19" s="64"/>
      <c r="R19" s="64"/>
    </row>
    <row r="20" spans="1:18" ht="16.5" thickBot="1" x14ac:dyDescent="0.3">
      <c r="A20" s="51" t="s">
        <v>20</v>
      </c>
      <c r="B20" s="6">
        <f>ROUNDUP(E20/20,0)</f>
        <v>6</v>
      </c>
      <c r="C20" s="2" t="s">
        <v>22</v>
      </c>
      <c r="D20" s="25" t="s">
        <v>21</v>
      </c>
      <c r="E20" s="26">
        <f>B4*1.2+B5*1.5</f>
        <v>112.5</v>
      </c>
      <c r="F20" s="53" t="s">
        <v>8</v>
      </c>
      <c r="N20" s="64"/>
      <c r="O20" s="64"/>
      <c r="P20" s="64"/>
      <c r="Q20" s="64"/>
      <c r="R20" s="64"/>
    </row>
    <row r="21" spans="1:18" x14ac:dyDescent="0.25">
      <c r="A21" s="51" t="s">
        <v>24</v>
      </c>
      <c r="B21" s="6">
        <f>ROUNDUP(B8/30+1,0)</f>
        <v>2</v>
      </c>
      <c r="C21" s="2" t="s">
        <v>13</v>
      </c>
      <c r="D21" s="21"/>
      <c r="E21" s="17"/>
      <c r="F21" s="44"/>
      <c r="N21" s="64"/>
      <c r="O21" s="64"/>
      <c r="P21" s="64"/>
      <c r="Q21" s="64"/>
      <c r="R21" s="64"/>
    </row>
    <row r="22" spans="1:18" x14ac:dyDescent="0.25">
      <c r="A22" s="51" t="s">
        <v>25</v>
      </c>
      <c r="B22" s="6">
        <f>ROUNDUP(3+(B4/2+B5/2),0)</f>
        <v>50</v>
      </c>
      <c r="C22" s="2" t="s">
        <v>8</v>
      </c>
      <c r="D22" s="24"/>
      <c r="E22" s="20"/>
      <c r="F22" s="52"/>
      <c r="N22" s="64"/>
      <c r="O22" s="64"/>
      <c r="P22" s="64"/>
      <c r="Q22" s="64"/>
      <c r="R22" s="64"/>
    </row>
    <row r="23" spans="1:18" x14ac:dyDescent="0.25">
      <c r="A23" s="51" t="s">
        <v>26</v>
      </c>
      <c r="B23" s="6">
        <f>ROUNDUP((B4+B5)/20+1,0)</f>
        <v>6</v>
      </c>
      <c r="C23" s="2" t="s">
        <v>10</v>
      </c>
      <c r="D23" s="27"/>
      <c r="E23" s="20"/>
      <c r="F23" s="52"/>
      <c r="N23" s="64"/>
      <c r="O23" s="64"/>
      <c r="P23" s="64"/>
      <c r="Q23" s="64"/>
      <c r="R23" s="64"/>
    </row>
    <row r="24" spans="1:18" ht="16.5" thickBot="1" x14ac:dyDescent="0.3">
      <c r="A24" s="45" t="s">
        <v>28</v>
      </c>
      <c r="B24" s="15">
        <f>ROUNDUP(B23/5+1,0)</f>
        <v>3</v>
      </c>
      <c r="C24" s="12" t="s">
        <v>29</v>
      </c>
      <c r="D24" s="28"/>
      <c r="E24" s="18"/>
      <c r="F24" s="46"/>
      <c r="N24" s="64"/>
      <c r="O24" s="64"/>
      <c r="P24" s="64"/>
      <c r="Q24" s="64"/>
      <c r="R24" s="64"/>
    </row>
    <row r="25" spans="1:18" ht="16.5" thickBot="1" x14ac:dyDescent="0.3">
      <c r="A25" s="54" t="s">
        <v>33</v>
      </c>
      <c r="B25" s="32"/>
      <c r="C25" s="33"/>
      <c r="D25" s="34"/>
      <c r="E25" s="33"/>
      <c r="F25" s="55"/>
      <c r="M25" s="36"/>
      <c r="N25" s="64"/>
      <c r="O25" s="64"/>
      <c r="P25" s="64"/>
      <c r="Q25" s="64"/>
      <c r="R25" s="64"/>
    </row>
    <row r="26" spans="1:18" x14ac:dyDescent="0.25">
      <c r="A26" s="71" t="s">
        <v>36</v>
      </c>
      <c r="B26" s="72"/>
      <c r="C26" s="72"/>
      <c r="D26" s="72"/>
      <c r="E26" s="72"/>
      <c r="F26" s="73"/>
      <c r="N26" s="64"/>
      <c r="O26" s="64"/>
      <c r="P26" s="64"/>
      <c r="Q26" s="64"/>
      <c r="R26" s="64"/>
    </row>
    <row r="27" spans="1:18" x14ac:dyDescent="0.25">
      <c r="A27" s="57" t="s">
        <v>37</v>
      </c>
      <c r="B27" s="57"/>
      <c r="C27" s="57"/>
      <c r="D27" s="57"/>
      <c r="E27" s="57"/>
      <c r="F27" s="57"/>
      <c r="N27" s="64"/>
      <c r="O27" s="64"/>
      <c r="P27" s="64"/>
      <c r="Q27" s="64"/>
      <c r="R27" s="64"/>
    </row>
    <row r="28" spans="1:18" x14ac:dyDescent="0.25">
      <c r="A28" s="57" t="s">
        <v>35</v>
      </c>
      <c r="B28" s="57"/>
      <c r="C28" s="57"/>
      <c r="D28" s="57"/>
      <c r="E28" s="57"/>
      <c r="F28" s="57"/>
      <c r="H28" s="56" t="s">
        <v>42</v>
      </c>
    </row>
  </sheetData>
  <mergeCells count="7">
    <mergeCell ref="A28:F28"/>
    <mergeCell ref="C4:F4"/>
    <mergeCell ref="C5:F5"/>
    <mergeCell ref="N4:R27"/>
    <mergeCell ref="A1:F2"/>
    <mergeCell ref="A26:F26"/>
    <mergeCell ref="A27:F27"/>
  </mergeCells>
  <phoneticPr fontId="0" type="noConversion"/>
  <conditionalFormatting sqref="A26:F26">
    <cfRule type="expression" dxfId="10" priority="3" stopIfTrue="1">
      <formula xml:space="preserve"> $E$9 &gt;199</formula>
    </cfRule>
  </conditionalFormatting>
  <conditionalFormatting sqref="A27:F27">
    <cfRule type="expression" dxfId="9" priority="4" stopIfTrue="1">
      <formula xml:space="preserve"> $E$9 &gt; 99</formula>
    </cfRule>
  </conditionalFormatting>
  <conditionalFormatting sqref="A28:F28">
    <cfRule type="expression" dxfId="8" priority="5" stopIfTrue="1">
      <formula xml:space="preserve"> $E$9 &lt; 50</formula>
    </cfRule>
  </conditionalFormatting>
  <conditionalFormatting sqref="C5:F5">
    <cfRule type="expression" dxfId="7" priority="6" stopIfTrue="1">
      <formula xml:space="preserve"> $B$4/$B$5 &gt; 1</formula>
    </cfRule>
  </conditionalFormatting>
  <conditionalFormatting sqref="C4:F4">
    <cfRule type="expression" dxfId="6" priority="7" stopIfTrue="1">
      <formula xml:space="preserve"> $B$4/$B$5 &lt; 0.8</formula>
    </cfRule>
  </conditionalFormatting>
  <pageMargins left="0.78740157499999996" right="0.78740157499999996" top="0.984251969" bottom="0.984251969" header="0.49212598499999999" footer="0.49212598499999999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Caterpillar Brasil Ltda.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Caterpillar Brasil Ltda.</dc:creator>
  <cp:lastModifiedBy>Manoel</cp:lastModifiedBy>
  <dcterms:created xsi:type="dcterms:W3CDTF">2001-03-28T14:03:06Z</dcterms:created>
  <dcterms:modified xsi:type="dcterms:W3CDTF">2014-09-08T18:12:19Z</dcterms:modified>
</cp:coreProperties>
</file>