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120" yWindow="0" windowWidth="2190" windowHeight="1245" firstSheet="1" activeTab="1"/>
  </bookViews>
  <sheets>
    <sheet name="Calcular 01" sheetId="13" state="hidden" r:id="rId1"/>
    <sheet name="Entrar Dados" sheetId="12" r:id="rId2"/>
  </sheets>
  <functionGroups builtInGroupCount="17"/>
  <definedNames>
    <definedName name="LstPresença">Table3[Presença]</definedName>
    <definedName name="TabDatas">#REF!</definedName>
  </definedNames>
  <calcPr calcId="145621"/>
</workbook>
</file>

<file path=xl/calcChain.xml><?xml version="1.0" encoding="utf-8"?>
<calcChain xmlns="http://schemas.openxmlformats.org/spreadsheetml/2006/main">
  <c r="W2" i="12" l="1"/>
  <c r="W3" i="12"/>
  <c r="W4" i="12"/>
  <c r="W5" i="12"/>
  <c r="W6" i="12"/>
  <c r="W7" i="12"/>
  <c r="W8" i="12"/>
  <c r="C11" i="13" l="1"/>
  <c r="W11" i="13" s="1"/>
  <c r="C5" i="13"/>
  <c r="W5" i="13" s="1"/>
  <c r="C10" i="13"/>
  <c r="W10" i="13" s="1"/>
  <c r="C9" i="13"/>
  <c r="W9" i="13" s="1"/>
  <c r="C8" i="13"/>
  <c r="W8" i="13" s="1"/>
  <c r="C7" i="13"/>
  <c r="W7" i="13" s="1"/>
  <c r="C6" i="13"/>
  <c r="W6" i="13" s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" i="13"/>
</calcChain>
</file>

<file path=xl/sharedStrings.xml><?xml version="1.0" encoding="utf-8"?>
<sst xmlns="http://schemas.openxmlformats.org/spreadsheetml/2006/main" count="221" uniqueCount="62">
  <si>
    <t xml:space="preserve"> </t>
  </si>
  <si>
    <t>Faltas</t>
  </si>
  <si>
    <t>PP</t>
  </si>
  <si>
    <t>FF</t>
  </si>
  <si>
    <t>Matricula</t>
  </si>
  <si>
    <t>NomedoAluno</t>
  </si>
  <si>
    <t>FP</t>
  </si>
  <si>
    <t>PF</t>
  </si>
  <si>
    <t>Instruções?</t>
  </si>
  <si>
    <t>1) Preencher os campos? Matrícula, Nome do Aluno e Calcular as Faltas;</t>
  </si>
  <si>
    <t>3) O campo Aulas (1 a 20) devem ser preenchidos, conforme abaixo:</t>
  </si>
  <si>
    <t>Presença</t>
  </si>
  <si>
    <t>Observações</t>
  </si>
  <si>
    <t>4 horas/aula</t>
  </si>
  <si>
    <t>2 horas/aula</t>
  </si>
  <si>
    <t>0 horas/aula</t>
  </si>
  <si>
    <t>ORIENTAÇÂO GERAL</t>
  </si>
  <si>
    <t>AULA 01</t>
  </si>
  <si>
    <t>2) O campos Matrícula e NomedoAluno devem ser preenchidos, conforme a lista da secretária;</t>
  </si>
  <si>
    <t>3) O campo Aulas (1 a 20) devem ser preenchidos de acordo com a presença dos alunos, conforme abaixo:</t>
  </si>
  <si>
    <t>4) Usar o FORM padrão do Excel para preencher os campos de dados</t>
  </si>
  <si>
    <t>a) Usar o Office Button</t>
  </si>
  <si>
    <t>1) Copiar o preenchimento dos campos, a partir da subplanilha de "Entrar Dados"</t>
  </si>
  <si>
    <t>2) Calcular o campo Faltas, conforme item 3, abaixo, e devolver para o campo de mesmo nome da subplanilha "Entrar Dados"</t>
  </si>
  <si>
    <t>6) Os campos: 1, 2, 3, ..., 20 estão preenchidos com o valor "Default", ou seja, presença em todas as aulas para os alunos</t>
  </si>
  <si>
    <t>7) A cada aula dada, os dados do campos (1 a 20) serão mantidos ou alterados, de acordo com a presença dos alunos</t>
  </si>
  <si>
    <t>5) O campo, Faltas, deve ser cálculado e para tal cada um deve avaliar a melhor forma de fazer</t>
  </si>
  <si>
    <t>8) Os dados a serem inseridos devem ser validados, a fim de evitar erro no cálculo das faltas (a ser explorado)</t>
  </si>
  <si>
    <t>AULA 02</t>
  </si>
  <si>
    <t>c) Escolher: Opções</t>
  </si>
  <si>
    <t>b) Escolher: ARQUIVO</t>
  </si>
  <si>
    <t>d) Selecionar: Barra de Ferramentas de Acesso Rápido</t>
  </si>
  <si>
    <t>e) Escolher Comandos em: Todos os Comandos</t>
  </si>
  <si>
    <t>f ) Escolher FORM e dar OK</t>
  </si>
  <si>
    <t>13/02/2017</t>
  </si>
  <si>
    <t>Alberto Xanolento</t>
  </si>
  <si>
    <t>Bernardete Boqueirão</t>
  </si>
  <si>
    <t>Cassileide Gerônima</t>
  </si>
  <si>
    <t>Dudirson Durval de Jesus</t>
  </si>
  <si>
    <t>Hamilton Comandante</t>
  </si>
  <si>
    <t>Juca Que Fure</t>
  </si>
  <si>
    <t>Penelope Mundrunga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</si>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</sst>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color theme="4" tint="-0.499984740745262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3" fillId="0" borderId="0" xfId="0" applyFont="1"/>
    <xf numFmtId="0" fontId="0" fillId="0" borderId="1" xfId="0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0" fontId="2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9" xfId="0" applyFont="1" applyBorder="1"/>
    <xf numFmtId="14" fontId="1" fillId="0" borderId="0" xfId="0" applyNumberFormat="1" applyFont="1"/>
    <xf numFmtId="0" fontId="4" fillId="0" borderId="0" xfId="0" applyFont="1"/>
  </cellXfs>
  <cellStyles count="1"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4" tint="-0.499984740745262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32" displayName="Table32" ref="AB15:AD19" totalsRowShown="0" headerRowDxfId="16" headerRowBorderDxfId="15" tableBorderDxfId="14" totalsRowBorderDxfId="13">
  <tableColumns count="3">
    <tableColumn id="1" name="Presença" dataDxfId="12"/>
    <tableColumn id="2" name="Faltas" dataDxfId="11"/>
    <tableColumn id="3" name="Observações" dataDxfId="1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U10:W14" totalsRowShown="0" headerRowDxfId="9" headerRowBorderDxfId="8" tableBorderDxfId="7" totalsRowBorderDxfId="6">
  <tableColumns count="3">
    <tableColumn id="1" name="Presença" dataDxfId="5"/>
    <tableColumn id="2" name="Faltas" dataDxfId="4"/>
    <tableColumn id="3" name="Observações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Tabela2" displayName="Tabela2" ref="A1:W8" totalsRowShown="0" headerRowDxfId="2">
  <autoFilter ref="A1:W8"/>
  <tableColumns count="23">
    <tableColumn id="1" name="Matricula"/>
    <tableColumn id="2" name="NomedoAluno" dataDxfId="1"/>
    <tableColumn id="3" name="1"/>
    <tableColumn id="4" name="2"/>
    <tableColumn id="5" name="3"/>
    <tableColumn id="6" name="4"/>
    <tableColumn id="7" name="5"/>
    <tableColumn id="8" name="6"/>
    <tableColumn id="9" name="7"/>
    <tableColumn id="10" name="8"/>
    <tableColumn id="11" name="9"/>
    <tableColumn id="12" name="10"/>
    <tableColumn id="13" name="11"/>
    <tableColumn id="14" name="12"/>
    <tableColumn id="15" name="13"/>
    <tableColumn id="16" name="14"/>
    <tableColumn id="17" name="15"/>
    <tableColumn id="18" name="16"/>
    <tableColumn id="19" name="17"/>
    <tableColumn id="20" name="18"/>
    <tableColumn id="21" name="19"/>
    <tableColumn id="22" name="20"/>
    <tableColumn id="23" name="Faltas" dataDxfId="0">
      <calculatedColumnFormula>IF(Tabela2[[#This Row],[1]:[20]]="FF",4),IF(AND(Tabela2[[#This Row],[1]:[20]]="FP","PF"),2,IF(Tabela2[[#This Row],[1]:[20]]="PP",0))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50"/>
  <sheetViews>
    <sheetView workbookViewId="0">
      <selection activeCell="A9" sqref="A9"/>
    </sheetView>
  </sheetViews>
  <sheetFormatPr defaultRowHeight="12.75" x14ac:dyDescent="0.2"/>
  <cols>
    <col min="1" max="1" width="9.42578125" bestFit="1" customWidth="1"/>
    <col min="2" max="2" width="14" bestFit="1" customWidth="1"/>
    <col min="3" max="3" width="7.140625" bestFit="1" customWidth="1"/>
    <col min="4" max="22" width="3.7109375" customWidth="1"/>
    <col min="23" max="23" width="8.7109375" bestFit="1" customWidth="1"/>
    <col min="26" max="26" width="10.140625" bestFit="1" customWidth="1"/>
    <col min="27" max="27" width="6.42578125" bestFit="1" customWidth="1"/>
    <col min="28" max="28" width="12.5703125" bestFit="1" customWidth="1"/>
    <col min="30" max="30" width="12.5703125" bestFit="1" customWidth="1"/>
  </cols>
  <sheetData>
    <row r="1" spans="1:30" x14ac:dyDescent="0.2">
      <c r="Y1" s="1" t="s">
        <v>16</v>
      </c>
    </row>
    <row r="4" spans="1:30" x14ac:dyDescent="0.2">
      <c r="A4" s="1" t="s">
        <v>4</v>
      </c>
      <c r="B4" s="1" t="s">
        <v>5</v>
      </c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  <c r="K4" s="1">
        <v>9</v>
      </c>
      <c r="L4" s="1">
        <v>10</v>
      </c>
      <c r="M4" s="1">
        <v>11</v>
      </c>
      <c r="N4" s="1">
        <v>12</v>
      </c>
      <c r="O4" s="1">
        <v>13</v>
      </c>
      <c r="P4" s="1">
        <v>14</v>
      </c>
      <c r="Q4" s="1">
        <v>15</v>
      </c>
      <c r="R4" s="1">
        <v>16</v>
      </c>
      <c r="S4" s="1">
        <v>17</v>
      </c>
      <c r="T4" s="1">
        <v>18</v>
      </c>
      <c r="U4" s="1">
        <v>19</v>
      </c>
      <c r="V4" s="1">
        <v>20</v>
      </c>
      <c r="W4" s="1" t="s">
        <v>1</v>
      </c>
      <c r="Y4" s="1" t="s">
        <v>17</v>
      </c>
      <c r="Z4" s="14">
        <v>74537</v>
      </c>
    </row>
    <row r="5" spans="1:30" x14ac:dyDescent="0.2">
      <c r="A5" s="2">
        <f>'Entrar Dados'!A5</f>
        <v>4</v>
      </c>
      <c r="B5" s="2" t="str">
        <f>'Entrar Dados'!B5</f>
        <v>Dudirson Durval de Jesus</v>
      </c>
      <c r="C5" s="2">
        <f>IF('Entrar Dados'!C5="PP",0,IF('Entrar Dados'!C5="FF",4,IF('Entrar Dados'!C5="FP",2,IF('Entrar Dados'!C5="PF",2,"Erro 01"))))</f>
        <v>4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>
        <f>C5+D5+E5+F5+G5+H5+I5+J5+K5+L5+M5+N5+O5+P5+Q5+R5+S5+T5+U5+V5</f>
        <v>4</v>
      </c>
    </row>
    <row r="6" spans="1:30" x14ac:dyDescent="0.2">
      <c r="A6" s="2">
        <f>'Entrar Dados'!A6</f>
        <v>5</v>
      </c>
      <c r="B6" s="2" t="str">
        <f>'Entrar Dados'!B6</f>
        <v>Hamilton Comandante</v>
      </c>
      <c r="C6" s="2">
        <f>IF('Entrar Dados'!C6="PP",0,IF('Entrar Dados'!C6="FF",4,IF('Entrar Dados'!C6="FP",2,IF('Entrar Dados'!C6="PF",2,"Vlr Errado"))))</f>
        <v>4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>
        <f t="shared" ref="W6:W11" si="0">C6+D6+E6+F6+G6+H6+I6+J6+K6+L6+M6+N6+O6+P6+Q6+R6+S6+T6+U6+V6</f>
        <v>4</v>
      </c>
    </row>
    <row r="7" spans="1:30" x14ac:dyDescent="0.2">
      <c r="A7" s="2">
        <f>'Entrar Dados'!A7</f>
        <v>6</v>
      </c>
      <c r="B7" s="2" t="str">
        <f>'Entrar Dados'!B7</f>
        <v>Juca Que Fure</v>
      </c>
      <c r="C7" s="2">
        <f>IF('Entrar Dados'!C7="PP",0,IF('Entrar Dados'!C7="FF",4,IF('Entrar Dados'!C7="FP",2,IF('Entrar Dados'!C7="PF",2,"Vlr Errado"))))</f>
        <v>4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>
        <f t="shared" si="0"/>
        <v>4</v>
      </c>
      <c r="Y7" s="2" t="s">
        <v>8</v>
      </c>
    </row>
    <row r="8" spans="1:30" x14ac:dyDescent="0.2">
      <c r="A8" s="2">
        <f>'Entrar Dados'!A8</f>
        <v>7</v>
      </c>
      <c r="B8" s="2" t="str">
        <f>'Entrar Dados'!B8</f>
        <v>Penelope Mundrunga</v>
      </c>
      <c r="C8" s="2">
        <f>IF('Entrar Dados'!C8="PP",0,IF('Entrar Dados'!C8="FF",4,IF('Entrar Dados'!C8="FP",2,IF('Entrar Dados'!C8="PF",2,"Vlr Errado"))))</f>
        <v>4</v>
      </c>
      <c r="W8" s="2">
        <f t="shared" si="0"/>
        <v>4</v>
      </c>
    </row>
    <row r="9" spans="1:30" x14ac:dyDescent="0.2">
      <c r="A9" s="2">
        <f>'Entrar Dados'!A9</f>
        <v>0</v>
      </c>
      <c r="B9" s="2">
        <f>'Entrar Dados'!B9</f>
        <v>0</v>
      </c>
      <c r="C9" s="2" t="str">
        <f>IF('Entrar Dados'!C9="PP",0,IF('Entrar Dados'!C9="FF",4,IF('Entrar Dados'!C9="FP",2,IF('Entrar Dados'!C9="PF",2,"Vlr Errado"))))</f>
        <v>Vlr Errado</v>
      </c>
      <c r="W9" s="2" t="e">
        <f t="shared" si="0"/>
        <v>#VALUE!</v>
      </c>
      <c r="Y9" s="2" t="s">
        <v>22</v>
      </c>
    </row>
    <row r="10" spans="1:30" x14ac:dyDescent="0.2">
      <c r="A10" s="2">
        <f>'Entrar Dados'!A10</f>
        <v>0</v>
      </c>
      <c r="B10" s="2">
        <f>'Entrar Dados'!B10</f>
        <v>0</v>
      </c>
      <c r="C10" s="2" t="str">
        <f>IF('Entrar Dados'!C10="PP",0,IF('Entrar Dados'!C10="FF",4,IF('Entrar Dados'!C10="FP",2,IF('Entrar Dados'!C10="PF",2,"Vlr Errado"))))</f>
        <v>Vlr Errado</v>
      </c>
      <c r="W10" s="2" t="e">
        <f t="shared" si="0"/>
        <v>#VALUE!</v>
      </c>
    </row>
    <row r="11" spans="1:30" x14ac:dyDescent="0.2">
      <c r="A11" s="2">
        <f>'Entrar Dados'!A11</f>
        <v>0</v>
      </c>
      <c r="B11" s="2">
        <f>'Entrar Dados'!B11</f>
        <v>0</v>
      </c>
      <c r="C11" s="2" t="str">
        <f>IF('Entrar Dados'!C11="PP",0,IF('Entrar Dados'!C11="FF",4,IF('Entrar Dados'!C11="FP",2,IF('Entrar Dados'!C11="PF",2,"Vlr Errado"))))</f>
        <v>Vlr Errado</v>
      </c>
      <c r="W11" s="2" t="e">
        <f t="shared" si="0"/>
        <v>#VALUE!</v>
      </c>
      <c r="Y11" s="2" t="s">
        <v>23</v>
      </c>
    </row>
    <row r="12" spans="1:30" x14ac:dyDescent="0.2">
      <c r="A12" s="2">
        <f>'Entrar Dados'!A12</f>
        <v>0</v>
      </c>
      <c r="B12" s="2">
        <f>'Entrar Dados'!B12</f>
        <v>0</v>
      </c>
      <c r="W12" s="2"/>
    </row>
    <row r="13" spans="1:30" x14ac:dyDescent="0.2">
      <c r="A13" s="2">
        <f>'Entrar Dados'!A13</f>
        <v>0</v>
      </c>
      <c r="B13" s="2">
        <f>'Entrar Dados'!B13</f>
        <v>0</v>
      </c>
      <c r="W13" s="2"/>
      <c r="Y13" s="2" t="s">
        <v>10</v>
      </c>
    </row>
    <row r="14" spans="1:30" x14ac:dyDescent="0.2">
      <c r="A14" s="2">
        <f>'Entrar Dados'!A14</f>
        <v>0</v>
      </c>
      <c r="B14" s="2">
        <f>'Entrar Dados'!B14</f>
        <v>0</v>
      </c>
    </row>
    <row r="15" spans="1:30" x14ac:dyDescent="0.2">
      <c r="A15" s="2">
        <f>'Entrar Dados'!A15</f>
        <v>0</v>
      </c>
      <c r="B15" s="2">
        <f>'Entrar Dados'!B15</f>
        <v>0</v>
      </c>
      <c r="AB15" s="6" t="s">
        <v>11</v>
      </c>
      <c r="AC15" s="7" t="s">
        <v>1</v>
      </c>
      <c r="AD15" s="8" t="s">
        <v>12</v>
      </c>
    </row>
    <row r="16" spans="1:30" x14ac:dyDescent="0.2">
      <c r="A16" s="2">
        <f>'Entrar Dados'!A16</f>
        <v>0</v>
      </c>
      <c r="B16" s="2">
        <f>'Entrar Dados'!B16</f>
        <v>0</v>
      </c>
      <c r="AB16" s="9" t="s">
        <v>2</v>
      </c>
      <c r="AC16" s="5">
        <v>0</v>
      </c>
      <c r="AD16" s="10" t="s">
        <v>15</v>
      </c>
    </row>
    <row r="17" spans="1:30" x14ac:dyDescent="0.2">
      <c r="A17" s="2">
        <f>'Entrar Dados'!A17</f>
        <v>0</v>
      </c>
      <c r="B17" s="2">
        <f>'Entrar Dados'!B17</f>
        <v>0</v>
      </c>
      <c r="AB17" s="9" t="s">
        <v>7</v>
      </c>
      <c r="AC17" s="5">
        <v>2</v>
      </c>
      <c r="AD17" s="10" t="s">
        <v>14</v>
      </c>
    </row>
    <row r="18" spans="1:30" x14ac:dyDescent="0.2">
      <c r="A18" s="2">
        <f>'Entrar Dados'!A18</f>
        <v>0</v>
      </c>
      <c r="B18" s="2">
        <f>'Entrar Dados'!B18</f>
        <v>0</v>
      </c>
      <c r="AB18" s="9" t="s">
        <v>6</v>
      </c>
      <c r="AC18" s="5">
        <v>2</v>
      </c>
      <c r="AD18" s="10" t="s">
        <v>14</v>
      </c>
    </row>
    <row r="19" spans="1:30" x14ac:dyDescent="0.2">
      <c r="A19" s="2">
        <f>'Entrar Dados'!A19</f>
        <v>0</v>
      </c>
      <c r="B19" s="2">
        <f>'Entrar Dados'!B19</f>
        <v>0</v>
      </c>
      <c r="AB19" s="11" t="s">
        <v>3</v>
      </c>
      <c r="AC19" s="12">
        <v>4</v>
      </c>
      <c r="AD19" s="13" t="s">
        <v>13</v>
      </c>
    </row>
    <row r="20" spans="1:30" x14ac:dyDescent="0.2">
      <c r="A20" s="2">
        <f>'Entrar Dados'!A20</f>
        <v>0</v>
      </c>
      <c r="B20" s="2">
        <f>'Entrar Dados'!B20</f>
        <v>0</v>
      </c>
    </row>
    <row r="21" spans="1:30" x14ac:dyDescent="0.2">
      <c r="A21" s="2">
        <f>'Entrar Dados'!A21</f>
        <v>0</v>
      </c>
      <c r="B21" s="2">
        <f>'Entrar Dados'!B21</f>
        <v>0</v>
      </c>
      <c r="X21" s="2"/>
    </row>
    <row r="22" spans="1:30" x14ac:dyDescent="0.2">
      <c r="A22" s="2">
        <f>'Entrar Dados'!A22</f>
        <v>0</v>
      </c>
      <c r="B22" s="2">
        <f>'Entrar Dados'!B22</f>
        <v>0</v>
      </c>
    </row>
    <row r="23" spans="1:30" x14ac:dyDescent="0.2">
      <c r="A23" s="2">
        <f>'Entrar Dados'!A23</f>
        <v>0</v>
      </c>
      <c r="B23" s="2">
        <f>'Entrar Dados'!B23</f>
        <v>0</v>
      </c>
    </row>
    <row r="24" spans="1:30" x14ac:dyDescent="0.2">
      <c r="A24" s="2">
        <f>'Entrar Dados'!A24</f>
        <v>0</v>
      </c>
      <c r="B24" s="2">
        <f>'Entrar Dados'!B24</f>
        <v>0</v>
      </c>
      <c r="X24" s="2"/>
      <c r="AA24" s="3"/>
    </row>
    <row r="25" spans="1:30" x14ac:dyDescent="0.2">
      <c r="A25" s="2">
        <f>'Entrar Dados'!A25</f>
        <v>0</v>
      </c>
      <c r="B25" s="2">
        <f>'Entrar Dados'!B25</f>
        <v>0</v>
      </c>
      <c r="AA25" s="3"/>
    </row>
    <row r="26" spans="1:30" x14ac:dyDescent="0.2">
      <c r="A26" s="2">
        <f>'Entrar Dados'!A26</f>
        <v>0</v>
      </c>
      <c r="B26" s="2">
        <f>'Entrar Dados'!B26</f>
        <v>0</v>
      </c>
      <c r="AA26" s="3"/>
    </row>
    <row r="27" spans="1:30" x14ac:dyDescent="0.2">
      <c r="A27" s="2">
        <f>'Entrar Dados'!A27</f>
        <v>0</v>
      </c>
      <c r="B27" s="2">
        <f>'Entrar Dados'!B27</f>
        <v>0</v>
      </c>
      <c r="AA27" s="3"/>
    </row>
    <row r="28" spans="1:30" x14ac:dyDescent="0.2">
      <c r="A28" s="2">
        <f>'Entrar Dados'!A28</f>
        <v>0</v>
      </c>
      <c r="B28" s="2">
        <f>'Entrar Dados'!B28</f>
        <v>0</v>
      </c>
    </row>
    <row r="29" spans="1:30" x14ac:dyDescent="0.2">
      <c r="A29" s="2">
        <f>'Entrar Dados'!A30</f>
        <v>0</v>
      </c>
      <c r="B29" s="2">
        <f>'Entrar Dados'!B30</f>
        <v>0</v>
      </c>
    </row>
    <row r="30" spans="1:30" x14ac:dyDescent="0.2">
      <c r="A30" s="2">
        <f>'Entrar Dados'!A31</f>
        <v>0</v>
      </c>
      <c r="B30" s="2">
        <f>'Entrar Dados'!B31</f>
        <v>0</v>
      </c>
    </row>
    <row r="31" spans="1:30" x14ac:dyDescent="0.2">
      <c r="A31" s="2">
        <f>'Entrar Dados'!A32</f>
        <v>0</v>
      </c>
      <c r="B31" s="2">
        <f>'Entrar Dados'!B32</f>
        <v>0</v>
      </c>
    </row>
    <row r="32" spans="1:30" x14ac:dyDescent="0.2">
      <c r="A32" s="2">
        <f>'Entrar Dados'!A33</f>
        <v>0</v>
      </c>
      <c r="B32" s="2">
        <f>'Entrar Dados'!B33</f>
        <v>0</v>
      </c>
    </row>
    <row r="33" spans="1:2" x14ac:dyDescent="0.2">
      <c r="A33" s="2">
        <f>'Entrar Dados'!A34</f>
        <v>0</v>
      </c>
      <c r="B33" s="2">
        <f>'Entrar Dados'!B34</f>
        <v>0</v>
      </c>
    </row>
    <row r="34" spans="1:2" x14ac:dyDescent="0.2">
      <c r="A34" s="2">
        <f>'Entrar Dados'!A35</f>
        <v>0</v>
      </c>
      <c r="B34" s="2">
        <f>'Entrar Dados'!B35</f>
        <v>0</v>
      </c>
    </row>
    <row r="35" spans="1:2" x14ac:dyDescent="0.2">
      <c r="A35" s="2">
        <f>'Entrar Dados'!A36</f>
        <v>0</v>
      </c>
      <c r="B35" s="2">
        <f>'Entrar Dados'!B36</f>
        <v>0</v>
      </c>
    </row>
    <row r="36" spans="1:2" x14ac:dyDescent="0.2">
      <c r="A36" s="2">
        <f>'Entrar Dados'!A37</f>
        <v>0</v>
      </c>
      <c r="B36" s="2">
        <f>'Entrar Dados'!B37</f>
        <v>0</v>
      </c>
    </row>
    <row r="37" spans="1:2" x14ac:dyDescent="0.2">
      <c r="A37" s="2">
        <f>'Entrar Dados'!A38</f>
        <v>0</v>
      </c>
      <c r="B37" s="2">
        <f>'Entrar Dados'!B38</f>
        <v>0</v>
      </c>
    </row>
    <row r="38" spans="1:2" x14ac:dyDescent="0.2">
      <c r="A38" s="2">
        <f>'Entrar Dados'!A39</f>
        <v>0</v>
      </c>
      <c r="B38" s="2">
        <f>'Entrar Dados'!B39</f>
        <v>0</v>
      </c>
    </row>
    <row r="39" spans="1:2" x14ac:dyDescent="0.2">
      <c r="A39" s="2">
        <f>'Entrar Dados'!A40</f>
        <v>0</v>
      </c>
      <c r="B39" s="2">
        <f>'Entrar Dados'!B40</f>
        <v>0</v>
      </c>
    </row>
    <row r="40" spans="1:2" x14ac:dyDescent="0.2">
      <c r="A40" s="2">
        <f>'Entrar Dados'!A41</f>
        <v>0</v>
      </c>
      <c r="B40" s="2">
        <f>'Entrar Dados'!B41</f>
        <v>0</v>
      </c>
    </row>
    <row r="41" spans="1:2" x14ac:dyDescent="0.2">
      <c r="A41" s="2">
        <f>'Entrar Dados'!A42</f>
        <v>0</v>
      </c>
      <c r="B41" s="2">
        <f>'Entrar Dados'!B42</f>
        <v>0</v>
      </c>
    </row>
    <row r="42" spans="1:2" x14ac:dyDescent="0.2">
      <c r="A42" s="2">
        <f>'Entrar Dados'!A43</f>
        <v>0</v>
      </c>
      <c r="B42" s="2">
        <f>'Entrar Dados'!B43</f>
        <v>0</v>
      </c>
    </row>
    <row r="43" spans="1:2" x14ac:dyDescent="0.2">
      <c r="A43" s="2">
        <f>'Entrar Dados'!A44</f>
        <v>0</v>
      </c>
      <c r="B43" s="2">
        <f>'Entrar Dados'!B44</f>
        <v>0</v>
      </c>
    </row>
    <row r="44" spans="1:2" x14ac:dyDescent="0.2">
      <c r="A44" s="2">
        <f>'Entrar Dados'!A45</f>
        <v>0</v>
      </c>
      <c r="B44" s="2">
        <f>'Entrar Dados'!B45</f>
        <v>0</v>
      </c>
    </row>
    <row r="45" spans="1:2" x14ac:dyDescent="0.2">
      <c r="A45" s="2">
        <f>'Entrar Dados'!A46</f>
        <v>0</v>
      </c>
      <c r="B45" s="2">
        <f>'Entrar Dados'!B46</f>
        <v>0</v>
      </c>
    </row>
    <row r="46" spans="1:2" x14ac:dyDescent="0.2">
      <c r="A46" s="2">
        <f>'Entrar Dados'!A47</f>
        <v>0</v>
      </c>
      <c r="B46" s="2">
        <f>'Entrar Dados'!B47</f>
        <v>0</v>
      </c>
    </row>
    <row r="47" spans="1:2" x14ac:dyDescent="0.2">
      <c r="A47" s="2">
        <f>'Entrar Dados'!A48</f>
        <v>0</v>
      </c>
      <c r="B47" s="2">
        <f>'Entrar Dados'!B48</f>
        <v>0</v>
      </c>
    </row>
    <row r="48" spans="1:2" x14ac:dyDescent="0.2">
      <c r="A48" s="2">
        <f>'Entrar Dados'!A49</f>
        <v>0</v>
      </c>
      <c r="B48" s="2">
        <f>'Entrar Dados'!B49</f>
        <v>0</v>
      </c>
    </row>
    <row r="49" spans="1:2" x14ac:dyDescent="0.2">
      <c r="A49" s="2">
        <f>'Entrar Dados'!A50</f>
        <v>0</v>
      </c>
      <c r="B49" s="2">
        <f>'Entrar Dados'!B50</f>
        <v>0</v>
      </c>
    </row>
    <row r="50" spans="1:2" x14ac:dyDescent="0.2">
      <c r="A50" s="2">
        <f>'Entrar Dados'!A51</f>
        <v>0</v>
      </c>
      <c r="B50" s="2">
        <f>'Entrar Dados'!B51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G51"/>
  <sheetViews>
    <sheetView tabSelected="1" workbookViewId="0">
      <selection activeCell="A2" sqref="A2:W8"/>
    </sheetView>
  </sheetViews>
  <sheetFormatPr defaultRowHeight="12.75" x14ac:dyDescent="0.2"/>
  <cols>
    <col min="1" max="1" width="4.5703125" customWidth="1"/>
    <col min="2" max="2" width="24.42578125" customWidth="1"/>
    <col min="3" max="11" width="4.140625" customWidth="1"/>
    <col min="12" max="22" width="5.140625" customWidth="1"/>
    <col min="23" max="23" width="8.7109375" bestFit="1" customWidth="1"/>
    <col min="24" max="24" width="4.28515625" customWidth="1"/>
    <col min="26" max="26" width="10.140625" bestFit="1" customWidth="1"/>
    <col min="27" max="27" width="6.42578125" bestFit="1" customWidth="1"/>
    <col min="28" max="28" width="12.5703125" bestFit="1" customWidth="1"/>
    <col min="30" max="30" width="12.5703125" bestFit="1" customWidth="1"/>
    <col min="31" max="31" width="3.7109375" customWidth="1"/>
  </cols>
  <sheetData>
    <row r="1" spans="1:26" ht="20.100000000000001" customHeight="1" x14ac:dyDescent="0.2">
      <c r="A1" s="1" t="s">
        <v>4</v>
      </c>
      <c r="B1" s="1" t="s">
        <v>5</v>
      </c>
      <c r="C1" s="1" t="s">
        <v>42</v>
      </c>
      <c r="D1" s="1" t="s">
        <v>43</v>
      </c>
      <c r="E1" s="1" t="s">
        <v>44</v>
      </c>
      <c r="F1" s="1" t="s">
        <v>45</v>
      </c>
      <c r="G1" s="1" t="s">
        <v>46</v>
      </c>
      <c r="H1" s="1" t="s">
        <v>47</v>
      </c>
      <c r="I1" s="1" t="s">
        <v>48</v>
      </c>
      <c r="J1" s="1" t="s">
        <v>49</v>
      </c>
      <c r="K1" s="1" t="s">
        <v>50</v>
      </c>
      <c r="L1" s="1" t="s">
        <v>51</v>
      </c>
      <c r="M1" s="1" t="s">
        <v>52</v>
      </c>
      <c r="N1" s="1" t="s">
        <v>53</v>
      </c>
      <c r="O1" s="1" t="s">
        <v>54</v>
      </c>
      <c r="P1" s="1" t="s">
        <v>55</v>
      </c>
      <c r="Q1" s="1" t="s">
        <v>56</v>
      </c>
      <c r="R1" s="1" t="s">
        <v>57</v>
      </c>
      <c r="S1" s="1" t="s">
        <v>58</v>
      </c>
      <c r="T1" s="1" t="s">
        <v>59</v>
      </c>
      <c r="U1" s="1" t="s">
        <v>60</v>
      </c>
      <c r="V1" s="1" t="s">
        <v>61</v>
      </c>
      <c r="W1" s="1" t="s">
        <v>1</v>
      </c>
      <c r="Y1" s="1" t="s">
        <v>16</v>
      </c>
    </row>
    <row r="2" spans="1:26" ht="20.100000000000001" customHeight="1" x14ac:dyDescent="0.2">
      <c r="A2">
        <v>1</v>
      </c>
      <c r="B2" s="15" t="s">
        <v>35</v>
      </c>
      <c r="C2" t="s">
        <v>3</v>
      </c>
      <c r="D2" t="s">
        <v>2</v>
      </c>
      <c r="E2" s="2" t="s">
        <v>3</v>
      </c>
      <c r="F2" t="s">
        <v>2</v>
      </c>
      <c r="G2" s="2" t="s">
        <v>3</v>
      </c>
      <c r="H2" s="2" t="s">
        <v>3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7</v>
      </c>
      <c r="O2" t="s">
        <v>2</v>
      </c>
      <c r="P2" t="s">
        <v>2</v>
      </c>
      <c r="Q2" t="s">
        <v>2</v>
      </c>
      <c r="R2" t="s">
        <v>7</v>
      </c>
      <c r="S2" t="s">
        <v>7</v>
      </c>
      <c r="T2" t="s">
        <v>7</v>
      </c>
      <c r="U2" s="2" t="s">
        <v>3</v>
      </c>
      <c r="V2" t="s">
        <v>7</v>
      </c>
      <c r="W2" s="2" t="e">
        <f>IF(Tabela2[[#This Row],[1]:[20]]="FF",4),IF(AND(Tabela2[[#This Row],[1]:[20]]="FP","PF"),2,IF(Tabela2[[#This Row],[1]:[20]]="PP",0)),SOM</f>
        <v>#VALUE!</v>
      </c>
    </row>
    <row r="3" spans="1:26" ht="20.100000000000001" customHeight="1" x14ac:dyDescent="0.2">
      <c r="A3">
        <v>2</v>
      </c>
      <c r="B3" s="15" t="s">
        <v>36</v>
      </c>
      <c r="C3" t="s">
        <v>3</v>
      </c>
      <c r="D3" t="s">
        <v>3</v>
      </c>
      <c r="E3" s="2" t="s">
        <v>3</v>
      </c>
      <c r="F3" s="2" t="s">
        <v>3</v>
      </c>
      <c r="G3" s="2" t="s">
        <v>3</v>
      </c>
      <c r="H3" s="2" t="s">
        <v>3</v>
      </c>
      <c r="I3" s="2" t="s">
        <v>3</v>
      </c>
      <c r="J3" s="2" t="s">
        <v>3</v>
      </c>
      <c r="K3" s="2" t="s">
        <v>3</v>
      </c>
      <c r="L3" t="s">
        <v>2</v>
      </c>
      <c r="M3" s="2" t="s">
        <v>3</v>
      </c>
      <c r="N3" s="2" t="s">
        <v>3</v>
      </c>
      <c r="O3" s="2" t="s">
        <v>3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s="2" t="s">
        <v>3</v>
      </c>
      <c r="V3" s="2" t="s">
        <v>3</v>
      </c>
      <c r="W3" s="2" t="e">
        <f>IF(Tabela2[[#This Row],[1]:[20]]="FF",4),IF(AND(Tabela2[[#This Row],[1]:[20]]="FP","PF"),2,IF(Tabela2[[#This Row],[1]:[20]]="PP",0))</f>
        <v>#VALUE!</v>
      </c>
    </row>
    <row r="4" spans="1:26" ht="20.100000000000001" customHeight="1" x14ac:dyDescent="0.2">
      <c r="A4">
        <v>3</v>
      </c>
      <c r="B4" s="15" t="s">
        <v>37</v>
      </c>
      <c r="C4" t="s">
        <v>3</v>
      </c>
      <c r="D4" t="s">
        <v>2</v>
      </c>
      <c r="E4" t="s">
        <v>7</v>
      </c>
      <c r="F4" t="s">
        <v>2</v>
      </c>
      <c r="G4" t="s">
        <v>2</v>
      </c>
      <c r="H4" t="s">
        <v>2</v>
      </c>
      <c r="I4" t="s">
        <v>7</v>
      </c>
      <c r="J4" t="s">
        <v>7</v>
      </c>
      <c r="K4" t="s">
        <v>7</v>
      </c>
      <c r="L4" s="2" t="s">
        <v>3</v>
      </c>
      <c r="M4" t="s">
        <v>2</v>
      </c>
      <c r="N4" t="s">
        <v>2</v>
      </c>
      <c r="O4" t="s">
        <v>2</v>
      </c>
      <c r="P4" t="s">
        <v>7</v>
      </c>
      <c r="Q4" s="2" t="s">
        <v>3</v>
      </c>
      <c r="R4" s="2" t="s">
        <v>3</v>
      </c>
      <c r="S4" s="2" t="s">
        <v>3</v>
      </c>
      <c r="T4" s="2" t="s">
        <v>3</v>
      </c>
      <c r="U4" t="s">
        <v>2</v>
      </c>
      <c r="V4" s="2" t="s">
        <v>3</v>
      </c>
      <c r="W4" s="2" t="e">
        <f>IF(Tabela2[[#This Row],[1]:[20]]="FF",4),IF(AND(Tabela2[[#This Row],[1]:[20]]="FP","PF"),2,IF(Tabela2[[#This Row],[1]:[20]]="PP",0))</f>
        <v>#VALUE!</v>
      </c>
      <c r="Y4" s="1" t="s">
        <v>28</v>
      </c>
      <c r="Z4" s="14" t="s">
        <v>34</v>
      </c>
    </row>
    <row r="5" spans="1:26" ht="20.100000000000001" customHeight="1" x14ac:dyDescent="0.2">
      <c r="A5">
        <v>4</v>
      </c>
      <c r="B5" s="15" t="s">
        <v>38</v>
      </c>
      <c r="C5" t="s">
        <v>3</v>
      </c>
      <c r="D5" s="2" t="s">
        <v>3</v>
      </c>
      <c r="E5" s="2" t="s">
        <v>3</v>
      </c>
      <c r="F5" s="2" t="s">
        <v>3</v>
      </c>
      <c r="G5" t="s">
        <v>2</v>
      </c>
      <c r="H5" t="s">
        <v>2</v>
      </c>
      <c r="I5" t="s">
        <v>2</v>
      </c>
      <c r="J5" t="s">
        <v>2</v>
      </c>
      <c r="K5" t="s">
        <v>2</v>
      </c>
      <c r="L5" s="2" t="s">
        <v>3</v>
      </c>
      <c r="M5" s="2" t="s">
        <v>3</v>
      </c>
      <c r="N5" s="2" t="s">
        <v>3</v>
      </c>
      <c r="O5" t="s">
        <v>2</v>
      </c>
      <c r="P5" t="s">
        <v>2</v>
      </c>
      <c r="Q5" t="s">
        <v>2</v>
      </c>
      <c r="R5" t="s">
        <v>2</v>
      </c>
      <c r="S5" t="s">
        <v>2</v>
      </c>
      <c r="T5" t="s">
        <v>2</v>
      </c>
      <c r="U5" s="2" t="s">
        <v>3</v>
      </c>
      <c r="V5" s="2" t="s">
        <v>3</v>
      </c>
      <c r="W5" s="2" t="e">
        <f>IF(Tabela2[[#This Row],[1]:[20]]="FF",4),IF(AND(Tabela2[[#This Row],[1]:[20]]="FP","PF"),2,IF(Tabela2[[#This Row],[1]:[20]]="PP",0))</f>
        <v>#VALUE!</v>
      </c>
    </row>
    <row r="6" spans="1:26" ht="20.100000000000001" customHeight="1" x14ac:dyDescent="0.2">
      <c r="A6">
        <v>5</v>
      </c>
      <c r="B6" s="15" t="s">
        <v>39</v>
      </c>
      <c r="C6" s="2" t="s">
        <v>3</v>
      </c>
      <c r="D6" t="s">
        <v>2</v>
      </c>
      <c r="E6" t="s">
        <v>2</v>
      </c>
      <c r="F6" t="s">
        <v>7</v>
      </c>
      <c r="G6" t="s">
        <v>7</v>
      </c>
      <c r="H6" s="2" t="s">
        <v>3</v>
      </c>
      <c r="I6" s="2" t="s">
        <v>3</v>
      </c>
      <c r="J6" s="2" t="s">
        <v>3</v>
      </c>
      <c r="K6" s="2" t="s">
        <v>3</v>
      </c>
      <c r="L6" t="s">
        <v>2</v>
      </c>
      <c r="M6" t="s">
        <v>2</v>
      </c>
      <c r="N6" t="s">
        <v>7</v>
      </c>
      <c r="O6" t="s">
        <v>7</v>
      </c>
      <c r="P6" t="s">
        <v>7</v>
      </c>
      <c r="Q6" t="s">
        <v>2</v>
      </c>
      <c r="R6" s="2" t="s">
        <v>3</v>
      </c>
      <c r="S6" t="s">
        <v>2</v>
      </c>
      <c r="T6" s="2" t="s">
        <v>3</v>
      </c>
      <c r="U6" t="s">
        <v>2</v>
      </c>
      <c r="V6" t="s">
        <v>2</v>
      </c>
      <c r="W6" t="e">
        <f>IF(Tabela2[[#This Row],[1]:[20]]="FF",4),IF(AND(Tabela2[[#This Row],[1]:[20]]="FP","PF"),2,IF(Tabela2[[#This Row],[1]:[20]]="PP",0))</f>
        <v>#VALUE!</v>
      </c>
    </row>
    <row r="7" spans="1:26" ht="20.100000000000001" customHeight="1" x14ac:dyDescent="0.2">
      <c r="A7">
        <v>6</v>
      </c>
      <c r="B7" s="15" t="s">
        <v>40</v>
      </c>
      <c r="C7" s="2" t="s">
        <v>3</v>
      </c>
      <c r="D7" t="s">
        <v>2</v>
      </c>
      <c r="E7" t="s">
        <v>2</v>
      </c>
      <c r="F7" t="s">
        <v>2</v>
      </c>
      <c r="G7" t="s">
        <v>2</v>
      </c>
      <c r="H7" s="2" t="s">
        <v>3</v>
      </c>
      <c r="I7" s="2" t="s">
        <v>3</v>
      </c>
      <c r="J7" s="2" t="s">
        <v>3</v>
      </c>
      <c r="K7" s="2" t="s">
        <v>3</v>
      </c>
      <c r="L7" t="s">
        <v>2</v>
      </c>
      <c r="M7" t="s">
        <v>2</v>
      </c>
      <c r="N7" t="s">
        <v>2</v>
      </c>
      <c r="O7" t="s">
        <v>2</v>
      </c>
      <c r="P7" t="s">
        <v>2</v>
      </c>
      <c r="Q7" s="2" t="s">
        <v>3</v>
      </c>
      <c r="R7" s="2" t="s">
        <v>3</v>
      </c>
      <c r="S7" s="2" t="s">
        <v>3</v>
      </c>
      <c r="T7" s="2" t="s">
        <v>3</v>
      </c>
      <c r="U7" t="s">
        <v>2</v>
      </c>
      <c r="V7" t="s">
        <v>2</v>
      </c>
      <c r="W7" s="2" t="e">
        <f>IF(Tabela2[[#This Row],[1]:[20]]="FF",4),IF(AND(Tabela2[[#This Row],[1]:[20]]="FP","PF"),2,IF(Tabela2[[#This Row],[1]:[20]]="PP",0))</f>
        <v>#VALUE!</v>
      </c>
      <c r="Y7" s="2" t="s">
        <v>8</v>
      </c>
    </row>
    <row r="8" spans="1:26" ht="20.100000000000001" customHeight="1" x14ac:dyDescent="0.2">
      <c r="A8">
        <v>7</v>
      </c>
      <c r="B8" s="15" t="s">
        <v>41</v>
      </c>
      <c r="C8" s="2" t="s">
        <v>3</v>
      </c>
      <c r="D8" s="2" t="s">
        <v>3</v>
      </c>
      <c r="E8" t="s">
        <v>2</v>
      </c>
      <c r="F8" s="2" t="s">
        <v>3</v>
      </c>
      <c r="G8" s="2" t="s">
        <v>3</v>
      </c>
      <c r="H8" s="2" t="s">
        <v>3</v>
      </c>
      <c r="I8" t="s">
        <v>3</v>
      </c>
      <c r="J8" s="2" t="s">
        <v>3</v>
      </c>
      <c r="K8" s="2" t="s">
        <v>3</v>
      </c>
      <c r="L8" s="2" t="s">
        <v>3</v>
      </c>
      <c r="M8" s="2" t="s">
        <v>3</v>
      </c>
      <c r="N8" s="2" t="s">
        <v>3</v>
      </c>
      <c r="O8" s="2" t="s">
        <v>3</v>
      </c>
      <c r="P8" s="2" t="s">
        <v>3</v>
      </c>
      <c r="Q8" t="s">
        <v>2</v>
      </c>
      <c r="R8" s="2" t="s">
        <v>3</v>
      </c>
      <c r="S8" s="2" t="s">
        <v>3</v>
      </c>
      <c r="T8" s="2" t="s">
        <v>3</v>
      </c>
      <c r="U8" t="s">
        <v>2</v>
      </c>
      <c r="V8" s="2" t="s">
        <v>3</v>
      </c>
      <c r="W8" s="2" t="e">
        <f>IF(Tabela2[[#This Row],[1]:[20]]="FF",4),IF(AND(Tabela2[[#This Row],[1]:[20]]="FP","PF"),2,IF(Tabela2[[#This Row],[1]:[20]]="PP",0))</f>
        <v>#VALUE!</v>
      </c>
    </row>
    <row r="9" spans="1:26" x14ac:dyDescent="0.2">
      <c r="W9" s="2"/>
      <c r="Y9" s="2" t="s">
        <v>9</v>
      </c>
    </row>
    <row r="10" spans="1:26" x14ac:dyDescent="0.2">
      <c r="U10" s="6" t="s">
        <v>11</v>
      </c>
      <c r="V10" s="7" t="s">
        <v>1</v>
      </c>
      <c r="W10" s="8" t="s">
        <v>12</v>
      </c>
    </row>
    <row r="11" spans="1:26" x14ac:dyDescent="0.2">
      <c r="U11" s="9" t="s">
        <v>2</v>
      </c>
      <c r="V11" s="5">
        <v>0</v>
      </c>
      <c r="W11" s="10" t="s">
        <v>15</v>
      </c>
      <c r="Y11" s="2" t="s">
        <v>18</v>
      </c>
    </row>
    <row r="12" spans="1:26" x14ac:dyDescent="0.2">
      <c r="U12" s="9" t="s">
        <v>7</v>
      </c>
      <c r="V12" s="5">
        <v>2</v>
      </c>
      <c r="W12" s="10" t="s">
        <v>14</v>
      </c>
    </row>
    <row r="13" spans="1:26" x14ac:dyDescent="0.2">
      <c r="U13" s="9" t="s">
        <v>6</v>
      </c>
      <c r="V13" s="5">
        <v>2</v>
      </c>
      <c r="W13" s="10" t="s">
        <v>14</v>
      </c>
      <c r="Y13" s="2" t="s">
        <v>19</v>
      </c>
    </row>
    <row r="14" spans="1:26" x14ac:dyDescent="0.2">
      <c r="U14" s="11" t="s">
        <v>3</v>
      </c>
      <c r="V14" s="12">
        <v>4</v>
      </c>
      <c r="W14" s="13" t="s">
        <v>13</v>
      </c>
    </row>
    <row r="15" spans="1:26" x14ac:dyDescent="0.2">
      <c r="W15" s="2"/>
    </row>
    <row r="16" spans="1:26" x14ac:dyDescent="0.2">
      <c r="W16" s="2"/>
    </row>
    <row r="17" spans="23:32" x14ac:dyDescent="0.2">
      <c r="W17" s="2"/>
    </row>
    <row r="18" spans="23:32" x14ac:dyDescent="0.2">
      <c r="W18" s="2"/>
    </row>
    <row r="19" spans="23:32" x14ac:dyDescent="0.2">
      <c r="W19" s="2"/>
    </row>
    <row r="20" spans="23:32" x14ac:dyDescent="0.2">
      <c r="W20" s="2"/>
    </row>
    <row r="21" spans="23:32" x14ac:dyDescent="0.2">
      <c r="W21" s="2"/>
      <c r="X21" s="2"/>
      <c r="Y21" s="2" t="s">
        <v>20</v>
      </c>
    </row>
    <row r="22" spans="23:32" x14ac:dyDescent="0.2">
      <c r="W22" s="2"/>
    </row>
    <row r="23" spans="23:32" x14ac:dyDescent="0.2">
      <c r="W23" s="2"/>
      <c r="Z23" s="2" t="s">
        <v>21</v>
      </c>
    </row>
    <row r="24" spans="23:32" x14ac:dyDescent="0.2">
      <c r="W24" s="2"/>
      <c r="X24" s="2"/>
      <c r="Y24" s="1"/>
      <c r="Z24" s="2" t="s">
        <v>30</v>
      </c>
      <c r="AA24" s="3"/>
    </row>
    <row r="25" spans="23:32" x14ac:dyDescent="0.2">
      <c r="W25" s="2"/>
      <c r="Z25" s="2" t="s">
        <v>29</v>
      </c>
      <c r="AA25" s="3"/>
    </row>
    <row r="26" spans="23:32" x14ac:dyDescent="0.2">
      <c r="W26" s="2"/>
      <c r="Y26" s="2"/>
      <c r="Z26" s="2" t="s">
        <v>31</v>
      </c>
      <c r="AA26" s="3"/>
      <c r="AF26" s="4"/>
    </row>
    <row r="27" spans="23:32" x14ac:dyDescent="0.2">
      <c r="W27" s="2"/>
      <c r="Y27" s="2"/>
      <c r="Z27" s="2" t="s">
        <v>32</v>
      </c>
      <c r="AA27" s="3"/>
    </row>
    <row r="28" spans="23:32" x14ac:dyDescent="0.2">
      <c r="W28" s="2"/>
      <c r="Z28" s="2" t="s">
        <v>33</v>
      </c>
    </row>
    <row r="29" spans="23:32" x14ac:dyDescent="0.2">
      <c r="W29" s="2"/>
      <c r="Z29" s="2"/>
    </row>
    <row r="30" spans="23:32" x14ac:dyDescent="0.2">
      <c r="W30" s="2"/>
      <c r="Y30" s="2" t="s">
        <v>26</v>
      </c>
      <c r="AE30" s="2"/>
    </row>
    <row r="31" spans="23:32" x14ac:dyDescent="0.2">
      <c r="W31" s="2"/>
    </row>
    <row r="32" spans="23:32" x14ac:dyDescent="0.2">
      <c r="W32" s="2"/>
      <c r="Y32" s="2" t="s">
        <v>24</v>
      </c>
    </row>
    <row r="33" spans="23:59" x14ac:dyDescent="0.2">
      <c r="W33" s="2"/>
    </row>
    <row r="34" spans="23:59" x14ac:dyDescent="0.2">
      <c r="W34" s="2"/>
      <c r="Y34" s="2" t="s">
        <v>25</v>
      </c>
    </row>
    <row r="35" spans="23:59" x14ac:dyDescent="0.2">
      <c r="W35" s="2"/>
    </row>
    <row r="36" spans="23:59" x14ac:dyDescent="0.2">
      <c r="W36" s="2"/>
      <c r="Y36" t="s">
        <v>27</v>
      </c>
    </row>
    <row r="37" spans="23:59" x14ac:dyDescent="0.2">
      <c r="W37" s="2"/>
    </row>
    <row r="38" spans="23:59" x14ac:dyDescent="0.2">
      <c r="W38" s="2"/>
    </row>
    <row r="39" spans="23:59" x14ac:dyDescent="0.2">
      <c r="W39" s="2"/>
    </row>
    <row r="40" spans="23:59" x14ac:dyDescent="0.2">
      <c r="W40" s="2"/>
    </row>
    <row r="41" spans="23:59" x14ac:dyDescent="0.2">
      <c r="W41" s="2"/>
    </row>
    <row r="42" spans="23:59" x14ac:dyDescent="0.2">
      <c r="W42" s="2"/>
    </row>
    <row r="43" spans="23:59" x14ac:dyDescent="0.2">
      <c r="W43" s="2"/>
    </row>
    <row r="44" spans="23:59" x14ac:dyDescent="0.2">
      <c r="W44" s="2"/>
    </row>
    <row r="45" spans="23:59" x14ac:dyDescent="0.2">
      <c r="W45" s="2"/>
      <c r="BG45" t="s">
        <v>0</v>
      </c>
    </row>
    <row r="46" spans="23:59" x14ac:dyDescent="0.2">
      <c r="W46" s="2"/>
    </row>
    <row r="47" spans="23:59" x14ac:dyDescent="0.2">
      <c r="W47" s="2"/>
      <c r="BG47" t="s">
        <v>0</v>
      </c>
    </row>
    <row r="48" spans="23:59" x14ac:dyDescent="0.2">
      <c r="W48" s="2"/>
    </row>
    <row r="49" spans="23:23" x14ac:dyDescent="0.2">
      <c r="W49" s="2"/>
    </row>
    <row r="50" spans="23:23" x14ac:dyDescent="0.2">
      <c r="W50" s="2"/>
    </row>
    <row r="51" spans="23:23" x14ac:dyDescent="0.2">
      <c r="W51" s="2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Calcular 01</vt:lpstr>
      <vt:lpstr>Entrar Dados</vt:lpstr>
      <vt:lpstr>LstPresença</vt:lpstr>
    </vt:vector>
  </TitlesOfParts>
  <Company>Nextel Telecomunicações Ltda.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mteixei2</dc:creator>
  <cp:lastModifiedBy>Simone</cp:lastModifiedBy>
  <cp:lastPrinted>2017-08-14T18:56:44Z</cp:lastPrinted>
  <dcterms:created xsi:type="dcterms:W3CDTF">2008-06-06T22:11:07Z</dcterms:created>
  <dcterms:modified xsi:type="dcterms:W3CDTF">2018-08-23T22:34:05Z</dcterms:modified>
</cp:coreProperties>
</file>