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oe\Documents\00 FATEC ZL\01 ADS\00 PMI\02 2017\02 Semestre\07 Contéudo das Aulas\01 EXC\03 Aulas\Aula 06\"/>
    </mc:Choice>
  </mc:AlternateContent>
  <bookViews>
    <workbookView xWindow="120" yWindow="0" windowWidth="2190" windowHeight="1250" firstSheet="2" activeTab="4" xr2:uid="{00000000-000D-0000-FFFF-FFFF00000000}"/>
  </bookViews>
  <sheets>
    <sheet name="Base Dados" sheetId="13" state="hidden" r:id="rId1"/>
    <sheet name="Macro &amp; Importar" sheetId="17" r:id="rId2"/>
    <sheet name="Importar Dados" sheetId="21" r:id="rId3"/>
    <sheet name="Gest de Aulas" sheetId="14" r:id="rId4"/>
    <sheet name="PROCV, Rs Final" sheetId="20" r:id="rId5"/>
  </sheets>
  <definedNames>
    <definedName name="CadAluFak">#REF!</definedName>
    <definedName name="CadAluLstScr" localSheetId="2">'Importar Dados'!#REF!</definedName>
    <definedName name="CadAluLstScr_1" localSheetId="2">'Importar Dados'!#REF!</definedName>
    <definedName name="CadAluLstScr_2" localSheetId="2">'Importar Dados'!#REF!</definedName>
    <definedName name="CadAluLstScr_3" localSheetId="2">'Importar Dados'!#REF!</definedName>
    <definedName name="CadAluLstScr_4" localSheetId="2">'Importar Dados'!#REF!</definedName>
    <definedName name="CadAluLstScr_5" localSheetId="2">'Importar Dados'!#REF!</definedName>
    <definedName name="CadAlunosdaSecrTxt_1" localSheetId="2">'Importar Dados'!#REF!</definedName>
    <definedName name="CadAlunosdaSecrTxt_1" localSheetId="1">'Macro &amp; Importar'!$A$1:$C$36</definedName>
    <definedName name="CadAlunosdaSecrTxt_2" localSheetId="2">'Importar Dados'!#REF!</definedName>
    <definedName name="CadAlunosdaSecrTxt_3" localSheetId="2">'Importar Dados'!#REF!</definedName>
    <definedName name="CadAlunosdaSecrTxt_4" localSheetId="2">'Importar Dados'!$A$1:$C$36</definedName>
    <definedName name="ListPr">Table33[Presença]</definedName>
    <definedName name="LstFreq">Table33[Presença]</definedName>
    <definedName name="MatdoAlu">'Gest de Aulas'!$A$2:$A$36</definedName>
    <definedName name="NmdeAlunos">'Gest de Aulas'!$B$2:$B$36</definedName>
    <definedName name="ParmFalt">Table33[Presença]</definedName>
    <definedName name="TabGstDisc">'Gest de Aulas'!$A$1:$AG$36</definedName>
  </definedNames>
  <calcPr calcId="171027"/>
</workbook>
</file>

<file path=xl/calcChain.xml><?xml version="1.0" encoding="utf-8"?>
<calcChain xmlns="http://schemas.openxmlformats.org/spreadsheetml/2006/main">
  <c r="E4" i="20" l="1"/>
  <c r="A2" i="14"/>
  <c r="B2" i="14"/>
  <c r="C2" i="14"/>
  <c r="A3" i="14"/>
  <c r="B3" i="14"/>
  <c r="C3" i="14"/>
  <c r="A4" i="14"/>
  <c r="B4" i="14"/>
  <c r="C4" i="14"/>
  <c r="A5" i="14"/>
  <c r="B5" i="14"/>
  <c r="C5" i="14"/>
  <c r="A6" i="14"/>
  <c r="B6" i="14"/>
  <c r="C6" i="14"/>
  <c r="A7" i="14"/>
  <c r="B7" i="14"/>
  <c r="C7" i="14"/>
  <c r="A8" i="14"/>
  <c r="B8" i="14"/>
  <c r="C8" i="14"/>
  <c r="A9" i="14"/>
  <c r="B9" i="14"/>
  <c r="C9" i="14"/>
  <c r="A10" i="14"/>
  <c r="B10" i="14"/>
  <c r="C10" i="14"/>
  <c r="A11" i="14"/>
  <c r="B11" i="14"/>
  <c r="C11" i="14"/>
  <c r="A12" i="14"/>
  <c r="B12" i="14"/>
  <c r="C12" i="14"/>
  <c r="A13" i="14"/>
  <c r="B13" i="14"/>
  <c r="C13" i="14"/>
  <c r="A14" i="14"/>
  <c r="B14" i="14"/>
  <c r="C14" i="14"/>
  <c r="A15" i="14"/>
  <c r="B15" i="14"/>
  <c r="C15" i="14"/>
  <c r="A16" i="14"/>
  <c r="B16" i="14"/>
  <c r="C16" i="14"/>
  <c r="A17" i="14"/>
  <c r="B17" i="14"/>
  <c r="C17" i="14"/>
  <c r="A18" i="14"/>
  <c r="B18" i="14"/>
  <c r="C18" i="14"/>
  <c r="A19" i="14"/>
  <c r="B19" i="14"/>
  <c r="C19" i="14"/>
  <c r="A20" i="14"/>
  <c r="B20" i="14"/>
  <c r="C20" i="14"/>
  <c r="A21" i="14"/>
  <c r="B21" i="14"/>
  <c r="C21" i="14"/>
  <c r="A22" i="14"/>
  <c r="B22" i="14"/>
  <c r="C22" i="14"/>
  <c r="A23" i="14"/>
  <c r="B23" i="14"/>
  <c r="C23" i="14"/>
  <c r="A24" i="14"/>
  <c r="B24" i="14"/>
  <c r="C24" i="14"/>
  <c r="A25" i="14"/>
  <c r="B25" i="14"/>
  <c r="C25" i="14"/>
  <c r="A26" i="14"/>
  <c r="B26" i="14"/>
  <c r="C26" i="14"/>
  <c r="A27" i="14"/>
  <c r="B27" i="14"/>
  <c r="C27" i="14"/>
  <c r="A28" i="14"/>
  <c r="B28" i="14"/>
  <c r="C28" i="14"/>
  <c r="A29" i="14"/>
  <c r="B29" i="14"/>
  <c r="C29" i="14"/>
  <c r="A30" i="14"/>
  <c r="B30" i="14"/>
  <c r="C30" i="14"/>
  <c r="A31" i="14"/>
  <c r="B31" i="14"/>
  <c r="C31" i="14"/>
  <c r="A32" i="14"/>
  <c r="B32" i="14"/>
  <c r="C32" i="14"/>
  <c r="A33" i="14"/>
  <c r="B33" i="14"/>
  <c r="C33" i="14"/>
  <c r="A34" i="14"/>
  <c r="B34" i="14"/>
  <c r="C34" i="14"/>
  <c r="A35" i="14"/>
  <c r="B35" i="14"/>
  <c r="C35" i="14"/>
  <c r="A36" i="14"/>
  <c r="B36" i="14"/>
  <c r="C36" i="14"/>
  <c r="B1" i="14"/>
  <c r="C1" i="14"/>
  <c r="A1" i="14"/>
  <c r="AA3" i="14" l="1"/>
  <c r="AB3" i="14"/>
  <c r="AC3" i="14"/>
  <c r="AA4" i="14"/>
  <c r="AB4" i="14"/>
  <c r="AC4" i="14"/>
  <c r="AA5" i="14"/>
  <c r="AB5" i="14"/>
  <c r="AC5" i="14"/>
  <c r="AA6" i="14"/>
  <c r="AB6" i="14"/>
  <c r="AC6" i="14"/>
  <c r="AA7" i="14"/>
  <c r="AB7" i="14"/>
  <c r="AC7" i="14"/>
  <c r="AA8" i="14"/>
  <c r="AB8" i="14"/>
  <c r="AC8" i="14"/>
  <c r="AA9" i="14"/>
  <c r="AB9" i="14"/>
  <c r="AC9" i="14"/>
  <c r="AA10" i="14"/>
  <c r="AB10" i="14"/>
  <c r="AC10" i="14"/>
  <c r="AA11" i="14"/>
  <c r="AB11" i="14"/>
  <c r="AC11" i="14"/>
  <c r="AA12" i="14"/>
  <c r="AB12" i="14"/>
  <c r="AC12" i="14"/>
  <c r="AA13" i="14"/>
  <c r="AB13" i="14"/>
  <c r="AC13" i="14"/>
  <c r="AA14" i="14"/>
  <c r="AB14" i="14"/>
  <c r="AC14" i="14"/>
  <c r="AA15" i="14"/>
  <c r="AB15" i="14"/>
  <c r="AC15" i="14"/>
  <c r="AA16" i="14"/>
  <c r="AB16" i="14"/>
  <c r="AC16" i="14"/>
  <c r="AA17" i="14"/>
  <c r="AB17" i="14"/>
  <c r="AC17" i="14"/>
  <c r="AA18" i="14"/>
  <c r="AB18" i="14"/>
  <c r="AC18" i="14"/>
  <c r="AA19" i="14"/>
  <c r="AB19" i="14"/>
  <c r="AC19" i="14"/>
  <c r="AA20" i="14"/>
  <c r="AB20" i="14"/>
  <c r="AC20" i="14"/>
  <c r="AA21" i="14"/>
  <c r="AB21" i="14"/>
  <c r="AC21" i="14"/>
  <c r="AA22" i="14"/>
  <c r="AB22" i="14"/>
  <c r="AC22" i="14"/>
  <c r="AA23" i="14"/>
  <c r="AB23" i="14"/>
  <c r="AC23" i="14"/>
  <c r="AA24" i="14"/>
  <c r="AB24" i="14"/>
  <c r="AC24" i="14"/>
  <c r="AA25" i="14"/>
  <c r="AB25" i="14"/>
  <c r="AC25" i="14"/>
  <c r="AA26" i="14"/>
  <c r="AB26" i="14"/>
  <c r="AC26" i="14"/>
  <c r="AA27" i="14"/>
  <c r="AB27" i="14"/>
  <c r="AC27" i="14"/>
  <c r="AA28" i="14"/>
  <c r="AB28" i="14"/>
  <c r="AC28" i="14"/>
  <c r="AA29" i="14"/>
  <c r="AB29" i="14"/>
  <c r="AC29" i="14"/>
  <c r="AA30" i="14"/>
  <c r="AB30" i="14"/>
  <c r="AC30" i="14"/>
  <c r="AA31" i="14"/>
  <c r="AB31" i="14"/>
  <c r="AC31" i="14"/>
  <c r="AA32" i="14"/>
  <c r="AB32" i="14"/>
  <c r="AC32" i="14"/>
  <c r="AA33" i="14"/>
  <c r="AB33" i="14"/>
  <c r="AC33" i="14"/>
  <c r="AA34" i="14"/>
  <c r="AB34" i="14"/>
  <c r="AC34" i="14"/>
  <c r="AA35" i="14"/>
  <c r="AB35" i="14"/>
  <c r="AC35" i="14"/>
  <c r="AA36" i="14"/>
  <c r="AB36" i="14"/>
  <c r="AC36" i="14"/>
  <c r="AB2" i="14"/>
  <c r="AC2" i="14"/>
  <c r="AA2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B7" i="20" l="1"/>
  <c r="B5" i="20" l="1"/>
  <c r="B4" i="20"/>
  <c r="W6" i="13" l="1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C5" i="13"/>
  <c r="A6" i="13"/>
  <c r="B6" i="13" s="1"/>
  <c r="A7" i="13"/>
  <c r="B7" i="13" s="1"/>
  <c r="A8" i="13"/>
  <c r="B8" i="13" s="1"/>
  <c r="A9" i="13"/>
  <c r="B9" i="13" s="1"/>
  <c r="A10" i="13"/>
  <c r="B10" i="13" s="1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B17" i="13" s="1"/>
  <c r="A18" i="13"/>
  <c r="B18" i="13" s="1"/>
  <c r="A19" i="13"/>
  <c r="B19" i="13" s="1"/>
  <c r="A20" i="13"/>
  <c r="B20" i="13" s="1"/>
  <c r="A21" i="13"/>
  <c r="B21" i="13" s="1"/>
  <c r="A22" i="13"/>
  <c r="B22" i="13" s="1"/>
  <c r="A23" i="13"/>
  <c r="B23" i="13" s="1"/>
  <c r="A24" i="13"/>
  <c r="B24" i="13" s="1"/>
  <c r="A25" i="13"/>
  <c r="B25" i="13" s="1"/>
  <c r="A26" i="13"/>
  <c r="B26" i="13" s="1"/>
  <c r="A27" i="13"/>
  <c r="B27" i="13" s="1"/>
  <c r="A28" i="13"/>
  <c r="B28" i="13" s="1"/>
  <c r="A29" i="13"/>
  <c r="B29" i="13" s="1"/>
  <c r="A30" i="13"/>
  <c r="B30" i="13" s="1"/>
  <c r="A31" i="13"/>
  <c r="B31" i="13" s="1"/>
  <c r="A32" i="13"/>
  <c r="B32" i="13" s="1"/>
  <c r="A33" i="13"/>
  <c r="B33" i="13" s="1"/>
  <c r="A34" i="13"/>
  <c r="B34" i="13" s="1"/>
  <c r="A35" i="13"/>
  <c r="B35" i="13" s="1"/>
  <c r="A36" i="13"/>
  <c r="B36" i="13" s="1"/>
  <c r="A37" i="13"/>
  <c r="B37" i="13" s="1"/>
  <c r="A38" i="13"/>
  <c r="B38" i="13" s="1"/>
  <c r="A39" i="13"/>
  <c r="B39" i="13" s="1"/>
  <c r="A40" i="13"/>
  <c r="B40" i="13" s="1"/>
  <c r="A41" i="13"/>
  <c r="B41" i="13" s="1"/>
  <c r="A42" i="13"/>
  <c r="B42" i="13" s="1"/>
  <c r="A43" i="13"/>
  <c r="B43" i="13" s="1"/>
  <c r="A44" i="13"/>
  <c r="B44" i="13" s="1"/>
  <c r="A45" i="13"/>
  <c r="B45" i="13" s="1"/>
  <c r="A5" i="13"/>
  <c r="B5" i="13" s="1"/>
  <c r="A50" i="13"/>
  <c r="B6" i="20" l="1"/>
  <c r="W5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dAlunosdaSecrTxt1" type="6" refreshedVersion="5" background="1" saveData="1">
    <textPr prompt="0" codePage="65001" sourceFile="C:\Users\teixeman\Documents\02 TEIXEIRA\FATECs\00 CdA\Gestão\CadAlunosdaSecrTxt.txt" decimal="," thousands="." tab="0" semicolon="1">
      <textFields count="3">
        <textField/>
        <textField/>
        <textField/>
      </textFields>
    </textPr>
  </connection>
  <connection id="2" xr16:uid="{00000000-0015-0000-FFFF-FFFF01000000}" name="CadAlunosdaSecrTxt5" type="6" refreshedVersion="5" background="1" saveData="1">
    <textPr prompt="0" codePage="65001" sourceFile="C:\Users\manoelt\Documents\02 TEIXEIRA\00 FATECs ZL\01 CdA\Gestão\CadAlunosdaSecrTxt.txt" tab="0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<sst xmlns="http://schemas.openxmlformats.org/spreadsheetml/2006/main" count="966" uniqueCount="139">
  <si>
    <t xml:space="preserve"> </t>
  </si>
  <si>
    <t>Faltas</t>
  </si>
  <si>
    <t>PP</t>
  </si>
  <si>
    <t>FF</t>
  </si>
  <si>
    <t>Matricula</t>
  </si>
  <si>
    <t>NomedoAluno</t>
  </si>
  <si>
    <t>FP</t>
  </si>
  <si>
    <t>PF</t>
  </si>
  <si>
    <t>Instruções?</t>
  </si>
  <si>
    <t>1) Preencher os campos? Matrícula, Nome do Aluno e Calcular as Faltas;</t>
  </si>
  <si>
    <t>2) O campos Matrícula e Nome do Aluno devem ser preenchidos, conforme a lista da secretária;</t>
  </si>
  <si>
    <t>3) O campo Aulas (1 a 20) devem ser preenchidos, conforme abaixo:</t>
  </si>
  <si>
    <t>Presença</t>
  </si>
  <si>
    <t>Observações</t>
  </si>
  <si>
    <t>4 horas/aula</t>
  </si>
  <si>
    <t>2 horas/aula</t>
  </si>
  <si>
    <t>0 horas/aula</t>
  </si>
  <si>
    <t>ORIENTAÇÂO GERAL</t>
  </si>
  <si>
    <t>AULA 02</t>
  </si>
  <si>
    <t>2) O campos Matrícula e NomedoAluno devem ser preenchidos, conforme a lista da secretária;</t>
  </si>
  <si>
    <t>3) O campo Aulas (1 a 20) devem ser preenchidos de acordo com a presença dos alunos, conforme abaixo:</t>
  </si>
  <si>
    <t>4) Usar o FORM padrão do Excel para preencher os campos de dados</t>
  </si>
  <si>
    <t>a) Usar o Office Button</t>
  </si>
  <si>
    <t>b) Escolher a opção? Excel Options</t>
  </si>
  <si>
    <t>c) Optar pelo grupo? Customize</t>
  </si>
  <si>
    <t>d) Selecionar o comando? FORM</t>
  </si>
  <si>
    <t>e) Selecionar as células para preencher os campos</t>
  </si>
  <si>
    <t>5) O campo, Faltas, deve ser cálculado e para tal cada um deve avaliar a melhor formad e fazer</t>
  </si>
  <si>
    <t>6) Os campos: 1, 2, 3, ..., 20 estão preenchidos com o valor "Default", ou seja, presença em todas as aulas para os alunos</t>
  </si>
  <si>
    <t>7) A cada aula dada, os dados do campos (1 a 20) serão mantidos ou alterados, de acordo com a presença dos alunos</t>
  </si>
  <si>
    <t>8) Osa dados que serão digitados nos campos (01 a 20) devem ser validados, pois poderá haver erros nas opções existentes, correto?</t>
  </si>
  <si>
    <t>9) Ver uma forma de automatizar esta validação com recursos do Excel ( Funções, Comandos, Macros, etc... )</t>
  </si>
  <si>
    <t>10) Calcular o campo falta fazendo uso de funções e formulas, a fim de obter o resultado sem a subplanilha de apoio usada na aula anterior</t>
  </si>
  <si>
    <t>ORIENTAÇÂO GERAL:</t>
  </si>
  <si>
    <t>Grupos</t>
  </si>
  <si>
    <t>1) Gravar MACRO para importar Dados;</t>
  </si>
  <si>
    <t>3) Executar a partir do botão a macro.</t>
  </si>
  <si>
    <t>4) Criar Macro Limpar arquivo Importado;</t>
  </si>
  <si>
    <t>5) Criar o botão para chamar a macro limpar;</t>
  </si>
  <si>
    <t>2) Criar botão para chamar a macro Importar;</t>
  </si>
  <si>
    <t>6) Associar o Botão a Macro limpar;</t>
  </si>
  <si>
    <t>7) Existem duas formas de associar o botão a macro.</t>
  </si>
  <si>
    <t>Opção 1 (Criar Botão)?</t>
  </si>
  <si>
    <t>Opção 2 (Criar Botão)?</t>
  </si>
  <si>
    <t>Guia Desenvolvedor, Inserir Botão</t>
  </si>
  <si>
    <t>Pegar do Inserir Formas</t>
  </si>
  <si>
    <t>Prv 01</t>
  </si>
  <si>
    <t>Prv 02</t>
  </si>
  <si>
    <t>Prv 03</t>
  </si>
  <si>
    <t>CodigodoAluno</t>
  </si>
  <si>
    <t>EmaildoAluno</t>
  </si>
  <si>
    <t>Lucas Cesar Medeiros</t>
  </si>
  <si>
    <t>Weber Resende de Araujo</t>
  </si>
  <si>
    <t>resenarau@yahoo.com.br</t>
  </si>
  <si>
    <t>NT Final, FPadr</t>
  </si>
  <si>
    <t>ff</t>
  </si>
  <si>
    <t>pf</t>
  </si>
  <si>
    <t>fp</t>
  </si>
  <si>
    <t>Felipe G. do Nascimento</t>
  </si>
  <si>
    <t xml:space="preserve">felipe1.jn@hotmail.com	</t>
  </si>
  <si>
    <t>lukankuro@hotmail.com</t>
  </si>
  <si>
    <t>Wilder Roberto Ramon Pereira</t>
  </si>
  <si>
    <t>wilder_roberto@hotmail.com</t>
  </si>
  <si>
    <t>Solimar Castro Gomes</t>
  </si>
  <si>
    <t>solimargomes@suzano.sp.gov.br</t>
  </si>
  <si>
    <t>Caio de Oliveira Reis</t>
  </si>
  <si>
    <t>caio.oliveira.reis@gmail.com</t>
  </si>
  <si>
    <t>Adriano Teixeira Mendes</t>
  </si>
  <si>
    <t>adrianoteixeiramendes@yahoo.com.br</t>
  </si>
  <si>
    <t>Igor de Oliveira Souza</t>
  </si>
  <si>
    <t>iosouza150293@gmail.com</t>
  </si>
  <si>
    <t>Thiago dos Santos Silva</t>
  </si>
  <si>
    <t>thiagosilvatecinfo@gmail.com</t>
  </si>
  <si>
    <t>Fabio Soares Diniz Xavier</t>
  </si>
  <si>
    <t>fabaixista@msn.com</t>
  </si>
  <si>
    <t>Geraldo Yogui</t>
  </si>
  <si>
    <t>yoguigeraldo@yahoo.com.br</t>
  </si>
  <si>
    <t>Yasmim Petarnella Chaves</t>
  </si>
  <si>
    <t>ypchaves@hotmail.com</t>
  </si>
  <si>
    <t>Virgínia Vitória Bastos Bichler</t>
  </si>
  <si>
    <t>virginiabichler21@gmail.com</t>
  </si>
  <si>
    <t>Alexandre Paiva Bezerra</t>
  </si>
  <si>
    <t>alexandrepaiva_2@hotmail.com</t>
  </si>
  <si>
    <t>Francisco Edyr Sousa da Silva Segundo</t>
  </si>
  <si>
    <t>fs.cs07@hotmail.com</t>
  </si>
  <si>
    <t>André Felipe Gomes</t>
  </si>
  <si>
    <t>andrefelipe.gomes@yahoo.com.br</t>
  </si>
  <si>
    <t>Rafael Ferreira Santos</t>
  </si>
  <si>
    <t>rafa.4up@gmail.com</t>
  </si>
  <si>
    <t>Raphael dos Santos Esteves</t>
  </si>
  <si>
    <t>raphael.santos.esteves@gmail.com</t>
  </si>
  <si>
    <t>Diego Souza Silva</t>
  </si>
  <si>
    <t>diego00023@gmail.com</t>
  </si>
  <si>
    <t>Luiz Gustavo Duarte Ramos</t>
  </si>
  <si>
    <t>luizgdramos@gmail.com</t>
  </si>
  <si>
    <t>André de O. Carvalho</t>
  </si>
  <si>
    <t>andrecarvalho85@outlook.com</t>
  </si>
  <si>
    <t>Cristina C. de Sousa Madeiro</t>
  </si>
  <si>
    <t>cristina_madeiro@hotmail.com</t>
  </si>
  <si>
    <t>Maxwell Ledogírio P. da Silva</t>
  </si>
  <si>
    <t>maxwell.silva9@etec.sp.gov.br</t>
  </si>
  <si>
    <t>Clayton Silva de Assis</t>
  </si>
  <si>
    <t>clay.assis@gmail.com</t>
  </si>
  <si>
    <t>Vinicius M. R. F. Soares</t>
  </si>
  <si>
    <t xml:space="preserve"> vmigueels@gmail.com</t>
  </si>
  <si>
    <t>Alessandro Duarte Jr</t>
  </si>
  <si>
    <t>alessandro_jump@hotmail.com</t>
  </si>
  <si>
    <t>Gustavo Henrique de Freitas</t>
  </si>
  <si>
    <t>guhenrique0812@gmail.com</t>
  </si>
  <si>
    <t>Felipe Araujo Soares</t>
  </si>
  <si>
    <t>felipesoares314@hotmail.com</t>
  </si>
  <si>
    <t>Marcello Ygor S. da Silva</t>
  </si>
  <si>
    <t>marcelloygor@hotmail.com</t>
  </si>
  <si>
    <t>Lucas Simões Magalhães</t>
  </si>
  <si>
    <t>lucasimoes014@hotmail.com</t>
  </si>
  <si>
    <t>Victor Henrique C. A. de Souza</t>
  </si>
  <si>
    <t>victorcondello@gmail.com</t>
  </si>
  <si>
    <t>Wesley do Nascimento Adão</t>
  </si>
  <si>
    <t>wesleyadao88@hotmail.com</t>
  </si>
  <si>
    <t>Guilherme de Carvalho Carini</t>
  </si>
  <si>
    <t>carinigui@outlook.com</t>
  </si>
  <si>
    <t>Thaylor Carvalho de Sousa</t>
  </si>
  <si>
    <t>thaylorcs@outlook.com</t>
  </si>
  <si>
    <t>André Torres Corrêa</t>
  </si>
  <si>
    <t>atcorrea17@gmail.com</t>
  </si>
  <si>
    <t>8) Nas opções de importar dados? Escolher ";" como separador de campos, em vez de usar TAB;</t>
  </si>
  <si>
    <t>Nome do Aluno</t>
  </si>
  <si>
    <t>Qtde de Faltas</t>
  </si>
  <si>
    <t>Média de Nota</t>
  </si>
  <si>
    <t>Nota Final</t>
  </si>
  <si>
    <t>Exemplo Prático, Função PROCV/VLOOKUP</t>
  </si>
  <si>
    <t>Entrar com a mátricula do Aluno?</t>
  </si>
  <si>
    <t>Faltas, FPadr</t>
  </si>
  <si>
    <t>Faltas, FVBA</t>
  </si>
  <si>
    <t>Média, FPadr</t>
  </si>
  <si>
    <t>Média, FVBA</t>
  </si>
  <si>
    <t>NT Final, FVBA</t>
  </si>
  <si>
    <t>27/03/2017</t>
  </si>
  <si>
    <t>AULA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</si>
</sst>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0" xfId="0"/>
    <xf numFmtId="0" fontId="2" fillId="0" borderId="9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/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6" xfId="0" applyFont="1" applyBorder="1"/>
    <xf numFmtId="14" fontId="1" fillId="0" borderId="0" xfId="0" applyNumberFormat="1" applyFont="1"/>
    <xf numFmtId="0" fontId="0" fillId="0" borderId="0" xfId="0" applyFont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49" fontId="2" fillId="0" borderId="0" xfId="0" applyNumberFormat="1" applyFont="1"/>
    <xf numFmtId="0" fontId="2" fillId="0" borderId="11" xfId="0" applyFont="1" applyBorder="1"/>
    <xf numFmtId="0" fontId="0" fillId="0" borderId="12" xfId="0" applyBorder="1"/>
    <xf numFmtId="0" fontId="2" fillId="0" borderId="13" xfId="0" applyFont="1" applyBorder="1"/>
    <xf numFmtId="0" fontId="0" fillId="0" borderId="14" xfId="0" applyBorder="1"/>
    <xf numFmtId="164" fontId="0" fillId="0" borderId="14" xfId="0" applyNumberFormat="1" applyBorder="1"/>
    <xf numFmtId="0" fontId="2" fillId="0" borderId="15" xfId="0" applyFont="1" applyBorder="1"/>
    <xf numFmtId="164" fontId="0" fillId="0" borderId="16" xfId="0" applyNumberFormat="1" applyBorder="1"/>
    <xf numFmtId="0" fontId="5" fillId="0" borderId="0" xfId="0" applyFont="1"/>
    <xf numFmtId="0" fontId="6" fillId="0" borderId="17" xfId="0" applyFont="1" applyBorder="1"/>
    <xf numFmtId="0" fontId="6" fillId="2" borderId="10" xfId="0" applyFont="1" applyFill="1" applyBorder="1"/>
    <xf numFmtId="164" fontId="2" fillId="0" borderId="0" xfId="0" applyNumberFormat="1" applyFont="1"/>
    <xf numFmtId="0" fontId="1" fillId="0" borderId="0" xfId="0" applyFont="1" applyAlignment="1">
      <alignment horizontal="left"/>
    </xf>
  </cellXfs>
  <cellStyles count="1">
    <cellStyle name="Normal" xfId="0" builtinId="0"/>
  </cellStyles>
  <dxfs count="1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12</xdr:row>
      <xdr:rowOff>9524</xdr:rowOff>
    </xdr:from>
    <xdr:to>
      <xdr:col>6</xdr:col>
      <xdr:colOff>9525</xdr:colOff>
      <xdr:row>15</xdr:row>
      <xdr:rowOff>142874</xdr:rowOff>
    </xdr:to>
    <xdr:sp macro="[0]!ImpDadosV01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86575" y="1790699"/>
          <a:ext cx="1219200" cy="619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Importar Arquivo</a:t>
          </a:r>
        </a:p>
      </xdr:txBody>
    </xdr:sp>
    <xdr:clientData/>
  </xdr:twoCellAnchor>
  <xdr:twoCellAnchor>
    <xdr:from>
      <xdr:col>4</xdr:col>
      <xdr:colOff>9525</xdr:colOff>
      <xdr:row>18</xdr:row>
      <xdr:rowOff>19049</xdr:rowOff>
    </xdr:from>
    <xdr:to>
      <xdr:col>6</xdr:col>
      <xdr:colOff>9525</xdr:colOff>
      <xdr:row>21</xdr:row>
      <xdr:rowOff>152399</xdr:rowOff>
    </xdr:to>
    <xdr:sp macro="[0]!DelDadosV01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86575" y="2771774"/>
          <a:ext cx="1219200" cy="619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 </a:t>
          </a:r>
        </a:p>
        <a:p>
          <a:pPr algn="ctr"/>
          <a:r>
            <a:rPr lang="pt-BR" sz="1100"/>
            <a:t>Arquivo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12700</xdr:rowOff>
        </xdr:from>
        <xdr:to>
          <xdr:col>11</xdr:col>
          <xdr:colOff>12700</xdr:colOff>
          <xdr:row>16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19050</xdr:rowOff>
        </xdr:from>
        <xdr:to>
          <xdr:col>11</xdr:col>
          <xdr:colOff>0</xdr:colOff>
          <xdr:row>22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12</xdr:row>
          <xdr:rowOff>50800</xdr:rowOff>
        </xdr:from>
        <xdr:to>
          <xdr:col>7</xdr:col>
          <xdr:colOff>419100</xdr:colOff>
          <xdr:row>14</xdr:row>
          <xdr:rowOff>107950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16</xdr:row>
          <xdr:rowOff>88900</xdr:rowOff>
        </xdr:from>
        <xdr:to>
          <xdr:col>7</xdr:col>
          <xdr:colOff>431800</xdr:colOff>
          <xdr:row>19</xdr:row>
          <xdr:rowOff>69850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114300</xdr:colOff>
      <xdr:row>12</xdr:row>
      <xdr:rowOff>0</xdr:rowOff>
    </xdr:from>
    <xdr:to>
      <xdr:col>13</xdr:col>
      <xdr:colOff>419100</xdr:colOff>
      <xdr:row>17</xdr:row>
      <xdr:rowOff>104775</xdr:rowOff>
    </xdr:to>
    <xdr:sp macro="[0]!ImportarDadosV01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077575" y="1943100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Importar Dados de Novo ate ....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12</xdr:row>
      <xdr:rowOff>19050</xdr:rowOff>
    </xdr:from>
    <xdr:to>
      <xdr:col>5</xdr:col>
      <xdr:colOff>23241</xdr:colOff>
      <xdr:row>18</xdr:row>
      <xdr:rowOff>89916</xdr:rowOff>
    </xdr:to>
    <xdr:sp macro="[0]!Macro1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76900" y="1962150"/>
          <a:ext cx="1042416" cy="104241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Importar Dados, via Macro</a:t>
          </a:r>
        </a:p>
      </xdr:txBody>
    </xdr:sp>
    <xdr:clientData/>
  </xdr:twoCellAnchor>
  <xdr:twoCellAnchor>
    <xdr:from>
      <xdr:col>6</xdr:col>
      <xdr:colOff>304800</xdr:colOff>
      <xdr:row>12</xdr:row>
      <xdr:rowOff>38099</xdr:rowOff>
    </xdr:from>
    <xdr:to>
      <xdr:col>8</xdr:col>
      <xdr:colOff>209550</xdr:colOff>
      <xdr:row>18</xdr:row>
      <xdr:rowOff>66674</xdr:rowOff>
    </xdr:to>
    <xdr:sp macro="[0]!Macro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10475" y="1981199"/>
          <a:ext cx="1123950" cy="1000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Deletar a Importação</a:t>
          </a:r>
          <a:r>
            <a:rPr lang="en-US" sz="1100" baseline="0"/>
            <a:t> de Dados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20</xdr:row>
          <xdr:rowOff>146050</xdr:rowOff>
        </xdr:from>
        <xdr:to>
          <xdr:col>4</xdr:col>
          <xdr:colOff>571500</xdr:colOff>
          <xdr:row>24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Importar, Via Botao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469900</xdr:colOff>
          <xdr:row>20</xdr:row>
          <xdr:rowOff>127000</xdr:rowOff>
        </xdr:from>
        <xdr:to>
          <xdr:col>8</xdr:col>
          <xdr:colOff>285750</xdr:colOff>
          <xdr:row>24</xdr:row>
          <xdr:rowOff>69850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Deletar, via Botao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1</xdr:row>
      <xdr:rowOff>104775</xdr:rowOff>
    </xdr:from>
    <xdr:to>
      <xdr:col>3</xdr:col>
      <xdr:colOff>400050</xdr:colOff>
      <xdr:row>3</xdr:row>
      <xdr:rowOff>57150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95625" y="266700"/>
          <a:ext cx="647700" cy="3333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dAlunosdaSecrTxt_1" connectionId="1" xr16:uid="{00000000-0016-0000-01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dAlunosdaSecrTxt_4" connectionId="2" xr16:uid="{00000000-0016-0000-0200-000001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32" displayName="Table32" ref="AB15:AD19" totalsRowShown="0" headerRowDxfId="17" headerRowBorderDxfId="16" tableBorderDxfId="15" totalsRowBorderDxfId="14">
  <tableColumns count="3">
    <tableColumn id="1" xr3:uid="{00000000-0010-0000-0000-000001000000}" name="Presença" dataDxfId="13"/>
    <tableColumn id="2" xr3:uid="{00000000-0010-0000-0000-000002000000}" name="Faltas" dataDxfId="12"/>
    <tableColumn id="3" xr3:uid="{00000000-0010-0000-0000-000003000000}" name="Observações" dataDxfId="1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3" displayName="Table33" ref="AK15:AM19" totalsRowShown="0" headerRowDxfId="6" headerRowBorderDxfId="5" tableBorderDxfId="4" totalsRowBorderDxfId="3">
  <tableColumns count="3">
    <tableColumn id="1" xr3:uid="{00000000-0010-0000-0100-000001000000}" name="Presença" dataDxfId="2"/>
    <tableColumn id="2" xr3:uid="{00000000-0010-0000-0100-000002000000}" name="Faltas" dataDxfId="1"/>
    <tableColumn id="3" xr3:uid="{00000000-0010-0000-0100-000003000000}" name="Observaçõ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D50"/>
  <sheetViews>
    <sheetView workbookViewId="0">
      <selection activeCell="B5" sqref="B5"/>
    </sheetView>
  </sheetViews>
  <sheetFormatPr defaultColWidth="9.1796875" defaultRowHeight="12.5" x14ac:dyDescent="0.25"/>
  <cols>
    <col min="1" max="1" width="8.54296875" style="6" bestFit="1" customWidth="1"/>
    <col min="2" max="2" width="14" style="6" bestFit="1" customWidth="1"/>
    <col min="3" max="22" width="3" style="6" customWidth="1"/>
    <col min="23" max="23" width="6.1796875" style="6" bestFit="1" customWidth="1"/>
    <col min="24" max="25" width="9.1796875" style="6"/>
    <col min="26" max="26" width="10.1796875" style="6" bestFit="1" customWidth="1"/>
    <col min="27" max="27" width="6.453125" style="6" bestFit="1" customWidth="1"/>
    <col min="28" max="28" width="12.54296875" style="6" bestFit="1" customWidth="1"/>
    <col min="29" max="29" width="9.1796875" style="6"/>
    <col min="30" max="30" width="12.54296875" style="6" bestFit="1" customWidth="1"/>
    <col min="31" max="16384" width="9.1796875" style="6"/>
  </cols>
  <sheetData>
    <row r="1" spans="1:30" ht="13" x14ac:dyDescent="0.3">
      <c r="Y1" s="1" t="s">
        <v>17</v>
      </c>
    </row>
    <row r="4" spans="1:30" ht="13" x14ac:dyDescent="0.3">
      <c r="A4" s="1" t="s">
        <v>4</v>
      </c>
      <c r="B4" s="1" t="s">
        <v>5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">
        <v>18</v>
      </c>
      <c r="U4" s="1">
        <v>19</v>
      </c>
      <c r="V4" s="1">
        <v>20</v>
      </c>
      <c r="W4" s="1" t="s">
        <v>1</v>
      </c>
      <c r="Y4" s="1" t="s">
        <v>18</v>
      </c>
      <c r="Z4" s="15">
        <v>40950</v>
      </c>
    </row>
    <row r="5" spans="1:30" x14ac:dyDescent="0.25">
      <c r="A5" s="6" t="e">
        <f>#REF!</f>
        <v>#REF!</v>
      </c>
      <c r="B5" s="6" t="e">
        <f>VLOOKUP(A5,#REF!,2,FALSE)</f>
        <v>#REF!</v>
      </c>
      <c r="C5" s="6" t="e">
        <f>IF(#REF!="PP",0,IF(#REF!="FF",4,IF(#REF!="PF",2,IF(#REF!="FP",2,"Opção Inválida"))))</f>
        <v>#REF!</v>
      </c>
      <c r="D5" s="6" t="e">
        <f>IF(#REF!="PP",0,IF(#REF!="FF",4,IF(#REF!="PF",2,IF(#REF!="FP",2,"Opção Inválida"))))</f>
        <v>#REF!</v>
      </c>
      <c r="E5" s="6" t="e">
        <f>IF(#REF!="PP",0,IF(#REF!="FF",4,IF(#REF!="PF",2,IF(#REF!="FP",2,"Opção Inválida"))))</f>
        <v>#REF!</v>
      </c>
      <c r="F5" s="6" t="e">
        <f>IF(#REF!="PP",0,IF(#REF!="FF",4,IF(#REF!="PF",2,IF(#REF!="FP",2,"Opção Inválida"))))</f>
        <v>#REF!</v>
      </c>
      <c r="G5" s="6" t="e">
        <f>IF(#REF!="PP",0,IF(#REF!="FF",4,IF(#REF!="PF",2,IF(#REF!="FP",2,"Opção Inválida"))))</f>
        <v>#REF!</v>
      </c>
      <c r="H5" s="6" t="e">
        <f>IF(#REF!="PP",0,IF(#REF!="FF",4,IF(#REF!="PF",2,IF(#REF!="FP",2,"Opção Inválida"))))</f>
        <v>#REF!</v>
      </c>
      <c r="I5" s="6" t="e">
        <f>IF(#REF!="PP",0,IF(#REF!="FF",4,IF(#REF!="PF",2,IF(#REF!="FP",2,"Opção Inválida"))))</f>
        <v>#REF!</v>
      </c>
      <c r="J5" s="6" t="e">
        <f>IF(#REF!="PP",0,IF(#REF!="FF",4,IF(#REF!="PF",2,IF(#REF!="FP",2,"Opção Inválida"))))</f>
        <v>#REF!</v>
      </c>
      <c r="K5" s="6" t="e">
        <f>IF(#REF!="PP",0,IF(#REF!="FF",4,IF(#REF!="PF",2,IF(#REF!="FP",2,"Opção Inválida"))))</f>
        <v>#REF!</v>
      </c>
      <c r="L5" s="6" t="e">
        <f>IF(#REF!="PP",0,IF(#REF!="FF",4,IF(#REF!="PF",2,IF(#REF!="FP",2,"Opção Inválida"))))</f>
        <v>#REF!</v>
      </c>
      <c r="M5" s="6" t="e">
        <f>IF(#REF!="PP",0,IF(#REF!="FF",4,IF(#REF!="PF",2,IF(#REF!="FP",2,"Opção Inválida"))))</f>
        <v>#REF!</v>
      </c>
      <c r="N5" s="6" t="e">
        <f>IF(#REF!="PP",0,IF(#REF!="FF",4,IF(#REF!="PF",2,IF(#REF!="FP",2,"Opção Inválida"))))</f>
        <v>#REF!</v>
      </c>
      <c r="O5" s="6" t="e">
        <f>IF(#REF!="PP",0,IF(#REF!="FF",4,IF(#REF!="PF",2,IF(#REF!="FP",2,"Opção Inválida"))))</f>
        <v>#REF!</v>
      </c>
      <c r="P5" s="6" t="e">
        <f>IF(#REF!="PP",0,IF(#REF!="FF",4,IF(#REF!="PF",2,IF(#REF!="FP",2,"Opção Inválida"))))</f>
        <v>#REF!</v>
      </c>
      <c r="Q5" s="6" t="e">
        <f>IF(#REF!="PP",0,IF(#REF!="FF",4,IF(#REF!="PF",2,IF(#REF!="FP",2,"Opção Inválida"))))</f>
        <v>#REF!</v>
      </c>
      <c r="R5" s="6" t="e">
        <f>IF(#REF!="PP",0,IF(#REF!="FF",4,IF(#REF!="PF",2,IF(#REF!="FP",2,"Opção Inválida"))))</f>
        <v>#REF!</v>
      </c>
      <c r="S5" s="6" t="e">
        <f>IF(#REF!="PP",0,IF(#REF!="FF",4,IF(#REF!="PF",2,IF(#REF!="FP",2,"Opção Inválida"))))</f>
        <v>#REF!</v>
      </c>
      <c r="T5" s="6" t="e">
        <f>IF(#REF!="PP",0,IF(#REF!="FF",4,IF(#REF!="PF",2,IF(#REF!="FP",2,"Opção Inválida"))))</f>
        <v>#REF!</v>
      </c>
      <c r="U5" s="6" t="e">
        <f>IF(#REF!="PP",0,IF(#REF!="FF",4,IF(#REF!="PF",2,IF(#REF!="FP",2,"Opção Inválida"))))</f>
        <v>#REF!</v>
      </c>
      <c r="V5" s="6" t="e">
        <f>IF(#REF!="PP",0,IF(#REF!="FF",4,IF(#REF!="PF",2,IF(#REF!="FP",2,"Opção Inválida"))))</f>
        <v>#REF!</v>
      </c>
      <c r="W5" s="6" t="e">
        <f>SUM(C5:V5)</f>
        <v>#REF!</v>
      </c>
    </row>
    <row r="6" spans="1:30" x14ac:dyDescent="0.25">
      <c r="A6" s="6" t="e">
        <f>#REF!</f>
        <v>#REF!</v>
      </c>
      <c r="B6" s="6" t="e">
        <f>VLOOKUP(A6,#REF!,2,FALSE)</f>
        <v>#REF!</v>
      </c>
      <c r="W6" s="6">
        <f t="shared" ref="W6:W45" si="0">SUM(C6:V6)</f>
        <v>0</v>
      </c>
    </row>
    <row r="7" spans="1:30" x14ac:dyDescent="0.25">
      <c r="A7" s="6" t="e">
        <f>#REF!</f>
        <v>#REF!</v>
      </c>
      <c r="B7" s="6" t="e">
        <f>VLOOKUP(A7,#REF!,2,FALSE)</f>
        <v>#REF!</v>
      </c>
      <c r="W7" s="6">
        <f t="shared" si="0"/>
        <v>0</v>
      </c>
      <c r="Y7" s="2" t="s">
        <v>8</v>
      </c>
    </row>
    <row r="8" spans="1:30" x14ac:dyDescent="0.25">
      <c r="A8" s="6" t="e">
        <f>#REF!</f>
        <v>#REF!</v>
      </c>
      <c r="B8" s="6" t="e">
        <f>VLOOKUP(A8,#REF!,2,FALSE)</f>
        <v>#REF!</v>
      </c>
      <c r="W8" s="6">
        <f t="shared" si="0"/>
        <v>0</v>
      </c>
    </row>
    <row r="9" spans="1:30" x14ac:dyDescent="0.25">
      <c r="A9" s="6" t="e">
        <f>#REF!</f>
        <v>#REF!</v>
      </c>
      <c r="B9" s="6" t="e">
        <f>VLOOKUP(A9,#REF!,2,FALSE)</f>
        <v>#REF!</v>
      </c>
      <c r="W9" s="6">
        <f t="shared" si="0"/>
        <v>0</v>
      </c>
      <c r="Y9" s="2" t="s">
        <v>9</v>
      </c>
    </row>
    <row r="10" spans="1:30" x14ac:dyDescent="0.25">
      <c r="A10" s="6" t="e">
        <f>#REF!</f>
        <v>#REF!</v>
      </c>
      <c r="B10" s="6" t="e">
        <f>VLOOKUP(A10,#REF!,2,FALSE)</f>
        <v>#REF!</v>
      </c>
      <c r="W10" s="6">
        <f t="shared" si="0"/>
        <v>0</v>
      </c>
    </row>
    <row r="11" spans="1:30" x14ac:dyDescent="0.25">
      <c r="A11" s="6" t="e">
        <f>#REF!</f>
        <v>#REF!</v>
      </c>
      <c r="B11" s="6" t="e">
        <f>VLOOKUP(A11,#REF!,2,FALSE)</f>
        <v>#REF!</v>
      </c>
      <c r="W11" s="6">
        <f t="shared" si="0"/>
        <v>0</v>
      </c>
      <c r="Y11" s="2" t="s">
        <v>10</v>
      </c>
    </row>
    <row r="12" spans="1:30" x14ac:dyDescent="0.25">
      <c r="A12" s="6" t="e">
        <f>#REF!</f>
        <v>#REF!</v>
      </c>
      <c r="B12" s="6" t="e">
        <f>VLOOKUP(A12,#REF!,2,FALSE)</f>
        <v>#REF!</v>
      </c>
      <c r="W12" s="6">
        <f t="shared" si="0"/>
        <v>0</v>
      </c>
    </row>
    <row r="13" spans="1:30" x14ac:dyDescent="0.25">
      <c r="A13" s="6" t="e">
        <f>#REF!</f>
        <v>#REF!</v>
      </c>
      <c r="B13" s="6" t="e">
        <f>VLOOKUP(A13,#REF!,2,FALSE)</f>
        <v>#REF!</v>
      </c>
      <c r="W13" s="6">
        <f t="shared" si="0"/>
        <v>0</v>
      </c>
      <c r="Y13" s="2" t="s">
        <v>11</v>
      </c>
    </row>
    <row r="14" spans="1:30" x14ac:dyDescent="0.25">
      <c r="A14" s="6" t="e">
        <f>#REF!</f>
        <v>#REF!</v>
      </c>
      <c r="B14" s="6" t="e">
        <f>VLOOKUP(A14,#REF!,2,FALSE)</f>
        <v>#REF!</v>
      </c>
      <c r="C14" s="2" t="s">
        <v>0</v>
      </c>
      <c r="D14" s="2" t="s">
        <v>0</v>
      </c>
      <c r="E14" s="2" t="s">
        <v>0</v>
      </c>
      <c r="F14" s="2" t="s">
        <v>0</v>
      </c>
      <c r="G14" s="2" t="s">
        <v>0</v>
      </c>
      <c r="H14" s="2" t="s">
        <v>0</v>
      </c>
      <c r="I14" s="2" t="s">
        <v>0</v>
      </c>
      <c r="J14" s="2" t="s">
        <v>0</v>
      </c>
      <c r="K14" s="2" t="s">
        <v>0</v>
      </c>
      <c r="L14" s="2" t="s">
        <v>0</v>
      </c>
      <c r="M14" s="2" t="s">
        <v>0</v>
      </c>
      <c r="N14" s="2" t="s">
        <v>0</v>
      </c>
      <c r="O14" s="2" t="s">
        <v>0</v>
      </c>
      <c r="P14" s="2" t="s">
        <v>0</v>
      </c>
      <c r="Q14" s="2" t="s">
        <v>0</v>
      </c>
      <c r="R14" s="2" t="s">
        <v>0</v>
      </c>
      <c r="S14" s="2" t="s">
        <v>0</v>
      </c>
      <c r="T14" s="2" t="s">
        <v>0</v>
      </c>
      <c r="U14" s="2" t="s">
        <v>0</v>
      </c>
      <c r="V14" s="2" t="s">
        <v>0</v>
      </c>
      <c r="W14" s="6">
        <f t="shared" si="0"/>
        <v>0</v>
      </c>
      <c r="X14" s="2" t="s">
        <v>0</v>
      </c>
    </row>
    <row r="15" spans="1:30" x14ac:dyDescent="0.25">
      <c r="A15" s="6" t="e">
        <f>#REF!</f>
        <v>#REF!</v>
      </c>
      <c r="B15" s="6" t="e">
        <f>VLOOKUP(A15,#REF!,2,FALSE)</f>
        <v>#REF!</v>
      </c>
      <c r="W15" s="6">
        <f t="shared" si="0"/>
        <v>0</v>
      </c>
      <c r="AB15" s="7" t="s">
        <v>12</v>
      </c>
      <c r="AC15" s="8" t="s">
        <v>1</v>
      </c>
      <c r="AD15" s="9" t="s">
        <v>13</v>
      </c>
    </row>
    <row r="16" spans="1:30" x14ac:dyDescent="0.25">
      <c r="A16" s="6" t="e">
        <f>#REF!</f>
        <v>#REF!</v>
      </c>
      <c r="B16" s="6" t="e">
        <f>VLOOKUP(A16,#REF!,2,FALSE)</f>
        <v>#REF!</v>
      </c>
      <c r="W16" s="6">
        <f t="shared" si="0"/>
        <v>0</v>
      </c>
      <c r="AB16" s="10" t="s">
        <v>2</v>
      </c>
      <c r="AC16" s="5">
        <v>0</v>
      </c>
      <c r="AD16" s="11" t="s">
        <v>16</v>
      </c>
    </row>
    <row r="17" spans="1:30" x14ac:dyDescent="0.25">
      <c r="A17" s="6" t="e">
        <f>#REF!</f>
        <v>#REF!</v>
      </c>
      <c r="B17" s="6" t="e">
        <f>VLOOKUP(A17,#REF!,2,FALSE)</f>
        <v>#REF!</v>
      </c>
      <c r="W17" s="6">
        <f t="shared" si="0"/>
        <v>0</v>
      </c>
      <c r="AB17" s="10" t="s">
        <v>7</v>
      </c>
      <c r="AC17" s="5">
        <v>2</v>
      </c>
      <c r="AD17" s="11" t="s">
        <v>15</v>
      </c>
    </row>
    <row r="18" spans="1:30" x14ac:dyDescent="0.25">
      <c r="A18" s="6" t="e">
        <f>#REF!</f>
        <v>#REF!</v>
      </c>
      <c r="B18" s="6" t="e">
        <f>VLOOKUP(A18,#REF!,2,FALSE)</f>
        <v>#REF!</v>
      </c>
      <c r="W18" s="6">
        <f t="shared" si="0"/>
        <v>0</v>
      </c>
      <c r="AB18" s="10" t="s">
        <v>6</v>
      </c>
      <c r="AC18" s="5">
        <v>2</v>
      </c>
      <c r="AD18" s="11" t="s">
        <v>15</v>
      </c>
    </row>
    <row r="19" spans="1:30" x14ac:dyDescent="0.25">
      <c r="A19" s="6" t="e">
        <f>#REF!</f>
        <v>#REF!</v>
      </c>
      <c r="B19" s="6" t="e">
        <f>VLOOKUP(A19,#REF!,2,FALSE)</f>
        <v>#REF!</v>
      </c>
      <c r="W19" s="6">
        <f t="shared" si="0"/>
        <v>0</v>
      </c>
      <c r="AB19" s="12" t="s">
        <v>3</v>
      </c>
      <c r="AC19" s="13">
        <v>4</v>
      </c>
      <c r="AD19" s="14" t="s">
        <v>14</v>
      </c>
    </row>
    <row r="20" spans="1:30" x14ac:dyDescent="0.25">
      <c r="A20" s="6" t="e">
        <f>#REF!</f>
        <v>#REF!</v>
      </c>
      <c r="B20" s="6" t="e">
        <f>VLOOKUP(A20,#REF!,2,FALSE)</f>
        <v>#REF!</v>
      </c>
      <c r="W20" s="6">
        <f t="shared" si="0"/>
        <v>0</v>
      </c>
    </row>
    <row r="21" spans="1:30" x14ac:dyDescent="0.25">
      <c r="A21" s="6" t="e">
        <f>#REF!</f>
        <v>#REF!</v>
      </c>
      <c r="B21" s="6" t="e">
        <f>VLOOKUP(A21,#REF!,2,FALSE)</f>
        <v>#REF!</v>
      </c>
      <c r="W21" s="6">
        <f t="shared" si="0"/>
        <v>0</v>
      </c>
      <c r="X21" s="2"/>
    </row>
    <row r="22" spans="1:30" x14ac:dyDescent="0.25">
      <c r="A22" s="6" t="e">
        <f>#REF!</f>
        <v>#REF!</v>
      </c>
      <c r="B22" s="6" t="e">
        <f>VLOOKUP(A22,#REF!,2,FALSE)</f>
        <v>#REF!</v>
      </c>
      <c r="W22" s="6">
        <f t="shared" si="0"/>
        <v>0</v>
      </c>
    </row>
    <row r="23" spans="1:30" x14ac:dyDescent="0.25">
      <c r="A23" s="6" t="e">
        <f>#REF!</f>
        <v>#REF!</v>
      </c>
      <c r="B23" s="6" t="e">
        <f>VLOOKUP(A23,#REF!,2,FALSE)</f>
        <v>#REF!</v>
      </c>
      <c r="W23" s="6">
        <f t="shared" si="0"/>
        <v>0</v>
      </c>
    </row>
    <row r="24" spans="1:30" x14ac:dyDescent="0.25">
      <c r="A24" s="6" t="e">
        <f>#REF!</f>
        <v>#REF!</v>
      </c>
      <c r="B24" s="6" t="e">
        <f>VLOOKUP(A24,#REF!,2,FALSE)</f>
        <v>#REF!</v>
      </c>
      <c r="W24" s="6">
        <f t="shared" si="0"/>
        <v>0</v>
      </c>
      <c r="X24" s="2"/>
      <c r="AA24" s="3"/>
    </row>
    <row r="25" spans="1:30" x14ac:dyDescent="0.25">
      <c r="A25" s="6" t="e">
        <f>#REF!</f>
        <v>#REF!</v>
      </c>
      <c r="B25" s="6" t="e">
        <f>VLOOKUP(A25,#REF!,2,FALSE)</f>
        <v>#REF!</v>
      </c>
      <c r="W25" s="6">
        <f t="shared" si="0"/>
        <v>0</v>
      </c>
      <c r="AA25" s="3"/>
    </row>
    <row r="26" spans="1:30" x14ac:dyDescent="0.25">
      <c r="A26" s="6" t="e">
        <f>#REF!</f>
        <v>#REF!</v>
      </c>
      <c r="B26" s="6" t="e">
        <f>VLOOKUP(A26,#REF!,2,FALSE)</f>
        <v>#REF!</v>
      </c>
      <c r="W26" s="6">
        <f t="shared" si="0"/>
        <v>0</v>
      </c>
      <c r="AA26" s="3"/>
    </row>
    <row r="27" spans="1:30" x14ac:dyDescent="0.25">
      <c r="A27" s="6" t="e">
        <f>#REF!</f>
        <v>#REF!</v>
      </c>
      <c r="B27" s="6" t="e">
        <f>VLOOKUP(A27,#REF!,2,FALSE)</f>
        <v>#REF!</v>
      </c>
      <c r="W27" s="6">
        <f t="shared" si="0"/>
        <v>0</v>
      </c>
      <c r="AA27" s="3"/>
    </row>
    <row r="28" spans="1:30" x14ac:dyDescent="0.25">
      <c r="A28" s="6" t="e">
        <f>#REF!</f>
        <v>#REF!</v>
      </c>
      <c r="B28" s="6" t="e">
        <f>VLOOKUP(A28,#REF!,2,FALSE)</f>
        <v>#REF!</v>
      </c>
      <c r="W28" s="6">
        <f t="shared" si="0"/>
        <v>0</v>
      </c>
    </row>
    <row r="29" spans="1:30" x14ac:dyDescent="0.25">
      <c r="A29" s="6" t="e">
        <f>#REF!</f>
        <v>#REF!</v>
      </c>
      <c r="B29" s="6" t="e">
        <f>VLOOKUP(A29,#REF!,2,FALSE)</f>
        <v>#REF!</v>
      </c>
      <c r="W29" s="6">
        <f t="shared" si="0"/>
        <v>0</v>
      </c>
    </row>
    <row r="30" spans="1:30" x14ac:dyDescent="0.25">
      <c r="A30" s="6" t="e">
        <f>#REF!</f>
        <v>#REF!</v>
      </c>
      <c r="B30" s="6" t="e">
        <f>VLOOKUP(A30,#REF!,2,FALSE)</f>
        <v>#REF!</v>
      </c>
      <c r="W30" s="6">
        <f t="shared" si="0"/>
        <v>0</v>
      </c>
    </row>
    <row r="31" spans="1:30" x14ac:dyDescent="0.25">
      <c r="A31" s="6" t="e">
        <f>#REF!</f>
        <v>#REF!</v>
      </c>
      <c r="B31" s="6" t="e">
        <f>VLOOKUP(A31,#REF!,2,FALSE)</f>
        <v>#REF!</v>
      </c>
      <c r="W31" s="6">
        <f t="shared" si="0"/>
        <v>0</v>
      </c>
    </row>
    <row r="32" spans="1:30" x14ac:dyDescent="0.25">
      <c r="A32" s="6" t="e">
        <f>#REF!</f>
        <v>#REF!</v>
      </c>
      <c r="B32" s="6" t="e">
        <f>VLOOKUP(A32,#REF!,2,FALSE)</f>
        <v>#REF!</v>
      </c>
      <c r="W32" s="6">
        <f t="shared" si="0"/>
        <v>0</v>
      </c>
    </row>
    <row r="33" spans="1:23" x14ac:dyDescent="0.25">
      <c r="A33" s="6" t="e">
        <f>#REF!</f>
        <v>#REF!</v>
      </c>
      <c r="B33" s="6" t="e">
        <f>VLOOKUP(A33,#REF!,2,FALSE)</f>
        <v>#REF!</v>
      </c>
      <c r="W33" s="6">
        <f t="shared" si="0"/>
        <v>0</v>
      </c>
    </row>
    <row r="34" spans="1:23" x14ac:dyDescent="0.25">
      <c r="A34" s="6" t="e">
        <f>#REF!</f>
        <v>#REF!</v>
      </c>
      <c r="B34" s="6" t="e">
        <f>VLOOKUP(A34,#REF!,2,FALSE)</f>
        <v>#REF!</v>
      </c>
      <c r="W34" s="6">
        <f t="shared" si="0"/>
        <v>0</v>
      </c>
    </row>
    <row r="35" spans="1:23" x14ac:dyDescent="0.25">
      <c r="A35" s="6" t="e">
        <f>#REF!</f>
        <v>#REF!</v>
      </c>
      <c r="B35" s="6" t="e">
        <f>VLOOKUP(A35,#REF!,2,FALSE)</f>
        <v>#REF!</v>
      </c>
      <c r="W35" s="6">
        <f t="shared" si="0"/>
        <v>0</v>
      </c>
    </row>
    <row r="36" spans="1:23" x14ac:dyDescent="0.25">
      <c r="A36" s="6" t="e">
        <f>#REF!</f>
        <v>#REF!</v>
      </c>
      <c r="B36" s="6" t="e">
        <f>VLOOKUP(A36,#REF!,2,FALSE)</f>
        <v>#REF!</v>
      </c>
      <c r="W36" s="6">
        <f t="shared" si="0"/>
        <v>0</v>
      </c>
    </row>
    <row r="37" spans="1:23" x14ac:dyDescent="0.25">
      <c r="A37" s="6" t="e">
        <f>#REF!</f>
        <v>#REF!</v>
      </c>
      <c r="B37" s="6" t="e">
        <f>VLOOKUP(A37,#REF!,2,FALSE)</f>
        <v>#REF!</v>
      </c>
      <c r="W37" s="6">
        <f t="shared" si="0"/>
        <v>0</v>
      </c>
    </row>
    <row r="38" spans="1:23" x14ac:dyDescent="0.25">
      <c r="A38" s="6" t="e">
        <f>#REF!</f>
        <v>#REF!</v>
      </c>
      <c r="B38" s="6" t="e">
        <f>VLOOKUP(A38,#REF!,2,FALSE)</f>
        <v>#REF!</v>
      </c>
      <c r="W38" s="6">
        <f t="shared" si="0"/>
        <v>0</v>
      </c>
    </row>
    <row r="39" spans="1:23" x14ac:dyDescent="0.25">
      <c r="A39" s="6" t="e">
        <f>#REF!</f>
        <v>#REF!</v>
      </c>
      <c r="B39" s="6" t="e">
        <f>VLOOKUP(A39,#REF!,2,FALSE)</f>
        <v>#REF!</v>
      </c>
      <c r="W39" s="6">
        <f t="shared" si="0"/>
        <v>0</v>
      </c>
    </row>
    <row r="40" spans="1:23" x14ac:dyDescent="0.25">
      <c r="A40" s="6" t="e">
        <f>#REF!</f>
        <v>#REF!</v>
      </c>
      <c r="B40" s="6" t="e">
        <f>VLOOKUP(A40,#REF!,2,FALSE)</f>
        <v>#REF!</v>
      </c>
      <c r="W40" s="6">
        <f t="shared" si="0"/>
        <v>0</v>
      </c>
    </row>
    <row r="41" spans="1:23" x14ac:dyDescent="0.25">
      <c r="A41" s="6" t="e">
        <f>#REF!</f>
        <v>#REF!</v>
      </c>
      <c r="B41" s="6" t="e">
        <f>VLOOKUP(A41,#REF!,2,FALSE)</f>
        <v>#REF!</v>
      </c>
      <c r="W41" s="6">
        <f t="shared" si="0"/>
        <v>0</v>
      </c>
    </row>
    <row r="42" spans="1:23" x14ac:dyDescent="0.25">
      <c r="A42" s="6" t="e">
        <f>#REF!</f>
        <v>#REF!</v>
      </c>
      <c r="B42" s="6" t="e">
        <f>VLOOKUP(A42,#REF!,2,FALSE)</f>
        <v>#REF!</v>
      </c>
      <c r="W42" s="6">
        <f t="shared" si="0"/>
        <v>0</v>
      </c>
    </row>
    <row r="43" spans="1:23" x14ac:dyDescent="0.25">
      <c r="A43" s="6" t="e">
        <f>#REF!</f>
        <v>#REF!</v>
      </c>
      <c r="B43" s="6" t="e">
        <f>VLOOKUP(A43,#REF!,2,FALSE)</f>
        <v>#REF!</v>
      </c>
      <c r="W43" s="6">
        <f t="shared" si="0"/>
        <v>0</v>
      </c>
    </row>
    <row r="44" spans="1:23" x14ac:dyDescent="0.25">
      <c r="A44" s="6" t="e">
        <f>#REF!</f>
        <v>#REF!</v>
      </c>
      <c r="B44" s="6" t="e">
        <f>VLOOKUP(A44,#REF!,2,FALSE)</f>
        <v>#REF!</v>
      </c>
      <c r="W44" s="6">
        <f t="shared" si="0"/>
        <v>0</v>
      </c>
    </row>
    <row r="45" spans="1:23" x14ac:dyDescent="0.25">
      <c r="A45" s="6" t="e">
        <f>#REF!</f>
        <v>#REF!</v>
      </c>
      <c r="B45" s="6" t="e">
        <f>VLOOKUP(A45,#REF!,2,FALSE)</f>
        <v>#REF!</v>
      </c>
      <c r="W45" s="6">
        <f t="shared" si="0"/>
        <v>0</v>
      </c>
    </row>
    <row r="46" spans="1:23" x14ac:dyDescent="0.25">
      <c r="A46" s="2" t="s">
        <v>0</v>
      </c>
    </row>
    <row r="47" spans="1:23" x14ac:dyDescent="0.25">
      <c r="A47" s="2" t="s">
        <v>0</v>
      </c>
    </row>
    <row r="48" spans="1:23" x14ac:dyDescent="0.25">
      <c r="A48" s="2" t="s">
        <v>0</v>
      </c>
    </row>
    <row r="49" spans="1:1" x14ac:dyDescent="0.25">
      <c r="A49" s="2" t="s">
        <v>0</v>
      </c>
    </row>
    <row r="50" spans="1:1" x14ac:dyDescent="0.25">
      <c r="A50" s="6" t="e">
        <f>#REF!</f>
        <v>#REF!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6"/>
  <sheetViews>
    <sheetView workbookViewId="0">
      <selection sqref="A1:C50"/>
    </sheetView>
  </sheetViews>
  <sheetFormatPr defaultColWidth="9.1796875" defaultRowHeight="12.5" x14ac:dyDescent="0.25"/>
  <cols>
    <col min="1" max="1" width="13.54296875" style="6" bestFit="1" customWidth="1"/>
    <col min="2" max="2" width="35.1796875" style="6" bestFit="1" customWidth="1"/>
    <col min="3" max="3" width="33.453125" style="6" bestFit="1" customWidth="1"/>
    <col min="4" max="16384" width="9.1796875" style="6"/>
  </cols>
  <sheetData>
    <row r="1" spans="1:8" x14ac:dyDescent="0.25">
      <c r="A1" s="6" t="s">
        <v>49</v>
      </c>
      <c r="B1" s="6" t="s">
        <v>5</v>
      </c>
      <c r="C1" s="6" t="s">
        <v>50</v>
      </c>
      <c r="E1" s="6" t="s">
        <v>35</v>
      </c>
    </row>
    <row r="2" spans="1:8" x14ac:dyDescent="0.25">
      <c r="A2" s="6">
        <v>1522752</v>
      </c>
      <c r="B2" s="6" t="s">
        <v>52</v>
      </c>
      <c r="C2" s="6" t="s">
        <v>53</v>
      </c>
      <c r="E2" s="6" t="s">
        <v>39</v>
      </c>
    </row>
    <row r="3" spans="1:8" x14ac:dyDescent="0.25">
      <c r="A3" s="6">
        <v>152540</v>
      </c>
      <c r="B3" s="6" t="s">
        <v>58</v>
      </c>
      <c r="C3" s="6" t="s">
        <v>59</v>
      </c>
      <c r="E3" s="6" t="s">
        <v>36</v>
      </c>
    </row>
    <row r="4" spans="1:8" x14ac:dyDescent="0.25">
      <c r="A4" s="6">
        <v>1512978</v>
      </c>
      <c r="B4" s="6" t="s">
        <v>51</v>
      </c>
      <c r="C4" s="6" t="s">
        <v>60</v>
      </c>
      <c r="E4" s="6" t="s">
        <v>37</v>
      </c>
    </row>
    <row r="5" spans="1:8" x14ac:dyDescent="0.25">
      <c r="A5" s="6">
        <v>152126</v>
      </c>
      <c r="B5" s="6" t="s">
        <v>61</v>
      </c>
      <c r="C5" s="6" t="s">
        <v>62</v>
      </c>
      <c r="E5" s="6" t="s">
        <v>38</v>
      </c>
    </row>
    <row r="6" spans="1:8" x14ac:dyDescent="0.25">
      <c r="A6" s="6">
        <v>1521357</v>
      </c>
      <c r="B6" s="6" t="s">
        <v>63</v>
      </c>
      <c r="C6" s="6" t="s">
        <v>64</v>
      </c>
      <c r="E6" s="6" t="s">
        <v>40</v>
      </c>
    </row>
    <row r="7" spans="1:8" x14ac:dyDescent="0.25">
      <c r="A7" s="6">
        <v>1522841</v>
      </c>
      <c r="B7" s="6" t="s">
        <v>65</v>
      </c>
      <c r="C7" s="6" t="s">
        <v>66</v>
      </c>
      <c r="E7" s="6" t="s">
        <v>41</v>
      </c>
    </row>
    <row r="8" spans="1:8" x14ac:dyDescent="0.25">
      <c r="A8" s="6">
        <v>152292</v>
      </c>
      <c r="B8" s="6" t="s">
        <v>67</v>
      </c>
      <c r="C8" s="6" t="s">
        <v>68</v>
      </c>
      <c r="E8" s="16" t="s">
        <v>125</v>
      </c>
    </row>
    <row r="9" spans="1:8" x14ac:dyDescent="0.25">
      <c r="A9" s="6">
        <v>1522711</v>
      </c>
      <c r="B9" s="6" t="s">
        <v>69</v>
      </c>
      <c r="C9" s="6" t="s">
        <v>70</v>
      </c>
    </row>
    <row r="10" spans="1:8" x14ac:dyDescent="0.25">
      <c r="A10" s="6">
        <v>1525395</v>
      </c>
      <c r="B10" s="6" t="s">
        <v>71</v>
      </c>
      <c r="C10" s="6" t="s">
        <v>72</v>
      </c>
      <c r="E10" s="6" t="s">
        <v>42</v>
      </c>
      <c r="H10" s="6" t="s">
        <v>43</v>
      </c>
    </row>
    <row r="11" spans="1:8" x14ac:dyDescent="0.25">
      <c r="A11" s="6">
        <v>1522949</v>
      </c>
      <c r="B11" s="6" t="s">
        <v>73</v>
      </c>
      <c r="C11" s="6" t="s">
        <v>74</v>
      </c>
      <c r="E11" s="6" t="s">
        <v>45</v>
      </c>
      <c r="H11" s="6" t="s">
        <v>44</v>
      </c>
    </row>
    <row r="12" spans="1:8" x14ac:dyDescent="0.25">
      <c r="A12" s="6">
        <v>1111111</v>
      </c>
      <c r="B12" s="6" t="s">
        <v>75</v>
      </c>
      <c r="C12" s="6" t="s">
        <v>76</v>
      </c>
    </row>
    <row r="13" spans="1:8" x14ac:dyDescent="0.25">
      <c r="A13" s="6">
        <v>1522744</v>
      </c>
      <c r="B13" s="6" t="s">
        <v>77</v>
      </c>
      <c r="C13" s="6" t="s">
        <v>78</v>
      </c>
    </row>
    <row r="14" spans="1:8" x14ac:dyDescent="0.25">
      <c r="A14" s="6">
        <v>1522914</v>
      </c>
      <c r="B14" s="6" t="s">
        <v>79</v>
      </c>
      <c r="C14" s="6" t="s">
        <v>80</v>
      </c>
    </row>
    <row r="15" spans="1:8" x14ac:dyDescent="0.25">
      <c r="A15" s="6">
        <v>2222222</v>
      </c>
      <c r="B15" s="6" t="s">
        <v>81</v>
      </c>
      <c r="C15" s="6" t="s">
        <v>82</v>
      </c>
    </row>
    <row r="16" spans="1:8" x14ac:dyDescent="0.25">
      <c r="A16" s="6">
        <v>1521330</v>
      </c>
      <c r="B16" s="6" t="s">
        <v>83</v>
      </c>
      <c r="C16" s="6" t="s">
        <v>84</v>
      </c>
    </row>
    <row r="17" spans="1:3" x14ac:dyDescent="0.25">
      <c r="A17" s="6">
        <v>1522787</v>
      </c>
      <c r="B17" s="6" t="s">
        <v>85</v>
      </c>
      <c r="C17" s="6" t="s">
        <v>86</v>
      </c>
    </row>
    <row r="18" spans="1:3" x14ac:dyDescent="0.25">
      <c r="A18" s="6">
        <v>1521292</v>
      </c>
      <c r="B18" s="6" t="s">
        <v>87</v>
      </c>
      <c r="C18" s="6" t="s">
        <v>88</v>
      </c>
    </row>
    <row r="19" spans="1:3" x14ac:dyDescent="0.25">
      <c r="A19" s="6">
        <v>1521374</v>
      </c>
      <c r="B19" s="6" t="s">
        <v>89</v>
      </c>
      <c r="C19" s="6" t="s">
        <v>90</v>
      </c>
    </row>
    <row r="20" spans="1:3" x14ac:dyDescent="0.25">
      <c r="A20" s="6">
        <v>1522833</v>
      </c>
      <c r="B20" s="6" t="s">
        <v>91</v>
      </c>
      <c r="C20" s="6" t="s">
        <v>92</v>
      </c>
    </row>
    <row r="21" spans="1:3" x14ac:dyDescent="0.25">
      <c r="A21" s="6">
        <v>1522825</v>
      </c>
      <c r="B21" s="6" t="s">
        <v>93</v>
      </c>
      <c r="C21" s="6" t="s">
        <v>94</v>
      </c>
    </row>
    <row r="22" spans="1:3" x14ac:dyDescent="0.25">
      <c r="A22" s="6">
        <v>3333333</v>
      </c>
      <c r="B22" s="6" t="s">
        <v>95</v>
      </c>
      <c r="C22" s="6" t="s">
        <v>96</v>
      </c>
    </row>
    <row r="23" spans="1:3" x14ac:dyDescent="0.25">
      <c r="A23" s="6">
        <v>4444444</v>
      </c>
      <c r="B23" s="6" t="s">
        <v>97</v>
      </c>
      <c r="C23" s="6" t="s">
        <v>98</v>
      </c>
    </row>
    <row r="24" spans="1:3" x14ac:dyDescent="0.25">
      <c r="A24" s="6">
        <v>1521241</v>
      </c>
      <c r="B24" s="6" t="s">
        <v>99</v>
      </c>
      <c r="C24" s="6" t="s">
        <v>100</v>
      </c>
    </row>
    <row r="25" spans="1:3" x14ac:dyDescent="0.25">
      <c r="A25" s="6">
        <v>5555555</v>
      </c>
      <c r="B25" s="6" t="s">
        <v>101</v>
      </c>
      <c r="C25" s="6" t="s">
        <v>102</v>
      </c>
    </row>
    <row r="26" spans="1:3" x14ac:dyDescent="0.25">
      <c r="A26" s="6">
        <v>1521225</v>
      </c>
      <c r="B26" s="6" t="s">
        <v>103</v>
      </c>
      <c r="C26" s="6" t="s">
        <v>104</v>
      </c>
    </row>
    <row r="27" spans="1:3" x14ac:dyDescent="0.25">
      <c r="A27" s="6">
        <v>6666666</v>
      </c>
      <c r="B27" s="6" t="s">
        <v>105</v>
      </c>
      <c r="C27" s="6" t="s">
        <v>106</v>
      </c>
    </row>
    <row r="28" spans="1:3" x14ac:dyDescent="0.25">
      <c r="A28" s="6">
        <v>1522851</v>
      </c>
      <c r="B28" s="6" t="s">
        <v>107</v>
      </c>
      <c r="C28" s="6" t="s">
        <v>108</v>
      </c>
    </row>
    <row r="29" spans="1:3" x14ac:dyDescent="0.25">
      <c r="A29" s="6">
        <v>7777777</v>
      </c>
      <c r="B29" s="6" t="s">
        <v>109</v>
      </c>
      <c r="C29" s="6" t="s">
        <v>110</v>
      </c>
    </row>
    <row r="30" spans="1:3" x14ac:dyDescent="0.25">
      <c r="A30" s="6">
        <v>8888888</v>
      </c>
      <c r="B30" s="6" t="s">
        <v>111</v>
      </c>
      <c r="C30" s="6" t="s">
        <v>112</v>
      </c>
    </row>
    <row r="31" spans="1:3" x14ac:dyDescent="0.25">
      <c r="A31" s="6">
        <v>1522809</v>
      </c>
      <c r="B31" s="6" t="s">
        <v>113</v>
      </c>
      <c r="C31" s="6" t="s">
        <v>114</v>
      </c>
    </row>
    <row r="32" spans="1:3" x14ac:dyDescent="0.25">
      <c r="A32" s="6">
        <v>1521276</v>
      </c>
      <c r="B32" s="6" t="s">
        <v>115</v>
      </c>
      <c r="C32" s="6" t="s">
        <v>116</v>
      </c>
    </row>
    <row r="33" spans="1:3" x14ac:dyDescent="0.25">
      <c r="A33" s="6">
        <v>1522957</v>
      </c>
      <c r="B33" s="6" t="s">
        <v>117</v>
      </c>
      <c r="C33" s="6" t="s">
        <v>118</v>
      </c>
    </row>
    <row r="34" spans="1:3" x14ac:dyDescent="0.25">
      <c r="A34" s="6">
        <v>9999999</v>
      </c>
      <c r="B34" s="6" t="s">
        <v>119</v>
      </c>
      <c r="C34" s="6" t="s">
        <v>120</v>
      </c>
    </row>
    <row r="35" spans="1:3" x14ac:dyDescent="0.25">
      <c r="A35" s="6">
        <v>1522779</v>
      </c>
      <c r="B35" s="6" t="s">
        <v>121</v>
      </c>
      <c r="C35" s="6" t="s">
        <v>122</v>
      </c>
    </row>
    <row r="36" spans="1:3" x14ac:dyDescent="0.25">
      <c r="A36" s="6">
        <v>9999991</v>
      </c>
      <c r="B36" s="6" t="s">
        <v>123</v>
      </c>
      <c r="C36" s="6" t="s">
        <v>124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DadosV01">
                <anchor moveWithCells="1" sizeWithCells="1">
                  <from>
                    <xdr:col>9</xdr:col>
                    <xdr:colOff>0</xdr:colOff>
                    <xdr:row>12</xdr:row>
                    <xdr:rowOff>12700</xdr:rowOff>
                  </from>
                  <to>
                    <xdr:col>11</xdr:col>
                    <xdr:colOff>12700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DadosV01">
                <anchor moveWithCells="1" sizeWithCells="1">
                  <from>
                    <xdr:col>9</xdr:col>
                    <xdr:colOff>19050</xdr:colOff>
                    <xdr:row>19</xdr:row>
                    <xdr:rowOff>19050</xdr:rowOff>
                  </from>
                  <to>
                    <xdr:col>11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mportarDadosV01">
                <anchor moveWithCells="1">
                  <from>
                    <xdr:col>6</xdr:col>
                    <xdr:colOff>514350</xdr:colOff>
                    <xdr:row>12</xdr:row>
                    <xdr:rowOff>50800</xdr:rowOff>
                  </from>
                  <to>
                    <xdr:col>7</xdr:col>
                    <xdr:colOff>419100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DeletarDadosV01">
                <anchor moveWithCells="1" sizeWithCells="1">
                  <from>
                    <xdr:col>6</xdr:col>
                    <xdr:colOff>552450</xdr:colOff>
                    <xdr:row>16</xdr:row>
                    <xdr:rowOff>88900</xdr:rowOff>
                  </from>
                  <to>
                    <xdr:col>7</xdr:col>
                    <xdr:colOff>431800</xdr:colOff>
                    <xdr:row>19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36"/>
  <sheetViews>
    <sheetView workbookViewId="0"/>
  </sheetViews>
  <sheetFormatPr defaultColWidth="9.1796875" defaultRowHeight="12.5" x14ac:dyDescent="0.25"/>
  <cols>
    <col min="1" max="1" width="13.54296875" style="6" bestFit="1" customWidth="1"/>
    <col min="2" max="2" width="35.1796875" style="6" bestFit="1" customWidth="1"/>
    <col min="3" max="3" width="33.453125" style="6" bestFit="1" customWidth="1"/>
    <col min="4" max="16384" width="9.1796875" style="6"/>
  </cols>
  <sheetData>
    <row r="1" spans="1:7" x14ac:dyDescent="0.25">
      <c r="A1" s="6" t="s">
        <v>49</v>
      </c>
      <c r="B1" s="6" t="s">
        <v>5</v>
      </c>
      <c r="C1" s="6" t="s">
        <v>50</v>
      </c>
      <c r="D1" s="6" t="s">
        <v>35</v>
      </c>
    </row>
    <row r="2" spans="1:7" x14ac:dyDescent="0.25">
      <c r="A2" s="6">
        <v>1522752</v>
      </c>
      <c r="B2" s="6" t="s">
        <v>52</v>
      </c>
      <c r="C2" s="6" t="s">
        <v>53</v>
      </c>
      <c r="D2" s="6" t="s">
        <v>39</v>
      </c>
    </row>
    <row r="3" spans="1:7" x14ac:dyDescent="0.25">
      <c r="A3" s="6">
        <v>152540</v>
      </c>
      <c r="B3" s="6" t="s">
        <v>58</v>
      </c>
      <c r="C3" s="6" t="s">
        <v>59</v>
      </c>
      <c r="D3" s="6" t="s">
        <v>36</v>
      </c>
    </row>
    <row r="4" spans="1:7" x14ac:dyDescent="0.25">
      <c r="A4" s="6">
        <v>1512978</v>
      </c>
      <c r="B4" s="6" t="s">
        <v>51</v>
      </c>
      <c r="C4" s="6" t="s">
        <v>60</v>
      </c>
      <c r="D4" s="6" t="s">
        <v>37</v>
      </c>
    </row>
    <row r="5" spans="1:7" x14ac:dyDescent="0.25">
      <c r="A5" s="6">
        <v>152126</v>
      </c>
      <c r="B5" s="6" t="s">
        <v>61</v>
      </c>
      <c r="C5" s="6" t="s">
        <v>62</v>
      </c>
      <c r="D5" s="6" t="s">
        <v>38</v>
      </c>
    </row>
    <row r="6" spans="1:7" x14ac:dyDescent="0.25">
      <c r="A6" s="6">
        <v>1521357</v>
      </c>
      <c r="B6" s="6" t="s">
        <v>63</v>
      </c>
      <c r="C6" s="6" t="s">
        <v>64</v>
      </c>
      <c r="D6" s="6" t="s">
        <v>40</v>
      </c>
    </row>
    <row r="7" spans="1:7" x14ac:dyDescent="0.25">
      <c r="A7" s="6">
        <v>1522841</v>
      </c>
      <c r="B7" s="6" t="s">
        <v>65</v>
      </c>
      <c r="C7" s="6" t="s">
        <v>66</v>
      </c>
      <c r="D7" s="6" t="s">
        <v>41</v>
      </c>
    </row>
    <row r="8" spans="1:7" x14ac:dyDescent="0.25">
      <c r="A8" s="6">
        <v>152292</v>
      </c>
      <c r="B8" s="6" t="s">
        <v>67</v>
      </c>
      <c r="C8" s="6" t="s">
        <v>68</v>
      </c>
      <c r="D8" s="16" t="s">
        <v>125</v>
      </c>
    </row>
    <row r="9" spans="1:7" x14ac:dyDescent="0.25">
      <c r="A9" s="6">
        <v>1522711</v>
      </c>
      <c r="B9" s="6" t="s">
        <v>69</v>
      </c>
      <c r="C9" s="6" t="s">
        <v>70</v>
      </c>
    </row>
    <row r="10" spans="1:7" x14ac:dyDescent="0.25">
      <c r="A10" s="6">
        <v>1525395</v>
      </c>
      <c r="B10" s="6" t="s">
        <v>71</v>
      </c>
      <c r="C10" s="6" t="s">
        <v>72</v>
      </c>
      <c r="D10" s="6" t="s">
        <v>42</v>
      </c>
      <c r="G10" s="6" t="s">
        <v>43</v>
      </c>
    </row>
    <row r="11" spans="1:7" x14ac:dyDescent="0.25">
      <c r="A11" s="6">
        <v>1522949</v>
      </c>
      <c r="B11" s="6" t="s">
        <v>73</v>
      </c>
      <c r="C11" s="6" t="s">
        <v>74</v>
      </c>
      <c r="D11" s="6" t="s">
        <v>45</v>
      </c>
      <c r="G11" s="6" t="s">
        <v>44</v>
      </c>
    </row>
    <row r="12" spans="1:7" x14ac:dyDescent="0.25">
      <c r="A12" s="6">
        <v>1111111</v>
      </c>
      <c r="B12" s="6" t="s">
        <v>75</v>
      </c>
      <c r="C12" s="6" t="s">
        <v>76</v>
      </c>
    </row>
    <row r="13" spans="1:7" x14ac:dyDescent="0.25">
      <c r="A13" s="6">
        <v>1522744</v>
      </c>
      <c r="B13" s="6" t="s">
        <v>77</v>
      </c>
      <c r="C13" s="6" t="s">
        <v>78</v>
      </c>
    </row>
    <row r="14" spans="1:7" x14ac:dyDescent="0.25">
      <c r="A14" s="6">
        <v>1522914</v>
      </c>
      <c r="B14" s="6" t="s">
        <v>79</v>
      </c>
      <c r="C14" s="6" t="s">
        <v>80</v>
      </c>
    </row>
    <row r="15" spans="1:7" x14ac:dyDescent="0.25">
      <c r="A15" s="6">
        <v>2222222</v>
      </c>
      <c r="B15" s="6" t="s">
        <v>81</v>
      </c>
      <c r="C15" s="6" t="s">
        <v>82</v>
      </c>
    </row>
    <row r="16" spans="1:7" x14ac:dyDescent="0.25">
      <c r="A16" s="6">
        <v>1521330</v>
      </c>
      <c r="B16" s="6" t="s">
        <v>83</v>
      </c>
      <c r="C16" s="6" t="s">
        <v>84</v>
      </c>
    </row>
    <row r="17" spans="1:3" x14ac:dyDescent="0.25">
      <c r="A17" s="6">
        <v>1522787</v>
      </c>
      <c r="B17" s="6" t="s">
        <v>85</v>
      </c>
      <c r="C17" s="6" t="s">
        <v>86</v>
      </c>
    </row>
    <row r="18" spans="1:3" x14ac:dyDescent="0.25">
      <c r="A18" s="6">
        <v>1521292</v>
      </c>
      <c r="B18" s="6" t="s">
        <v>87</v>
      </c>
      <c r="C18" s="6" t="s">
        <v>88</v>
      </c>
    </row>
    <row r="19" spans="1:3" x14ac:dyDescent="0.25">
      <c r="A19" s="6">
        <v>1521374</v>
      </c>
      <c r="B19" s="6" t="s">
        <v>89</v>
      </c>
      <c r="C19" s="6" t="s">
        <v>90</v>
      </c>
    </row>
    <row r="20" spans="1:3" x14ac:dyDescent="0.25">
      <c r="A20" s="6">
        <v>1522833</v>
      </c>
      <c r="B20" s="6" t="s">
        <v>91</v>
      </c>
      <c r="C20" s="6" t="s">
        <v>92</v>
      </c>
    </row>
    <row r="21" spans="1:3" x14ac:dyDescent="0.25">
      <c r="A21" s="6">
        <v>1522825</v>
      </c>
      <c r="B21" s="6" t="s">
        <v>93</v>
      </c>
      <c r="C21" s="6" t="s">
        <v>94</v>
      </c>
    </row>
    <row r="22" spans="1:3" x14ac:dyDescent="0.25">
      <c r="A22" s="6">
        <v>3333333</v>
      </c>
      <c r="B22" s="6" t="s">
        <v>95</v>
      </c>
      <c r="C22" s="6" t="s">
        <v>96</v>
      </c>
    </row>
    <row r="23" spans="1:3" x14ac:dyDescent="0.25">
      <c r="A23" s="6">
        <v>4444444</v>
      </c>
      <c r="B23" s="6" t="s">
        <v>97</v>
      </c>
      <c r="C23" s="6" t="s">
        <v>98</v>
      </c>
    </row>
    <row r="24" spans="1:3" x14ac:dyDescent="0.25">
      <c r="A24" s="6">
        <v>1521241</v>
      </c>
      <c r="B24" s="6" t="s">
        <v>99</v>
      </c>
      <c r="C24" s="6" t="s">
        <v>100</v>
      </c>
    </row>
    <row r="25" spans="1:3" x14ac:dyDescent="0.25">
      <c r="A25" s="6">
        <v>5555555</v>
      </c>
      <c r="B25" s="6" t="s">
        <v>101</v>
      </c>
      <c r="C25" s="6" t="s">
        <v>102</v>
      </c>
    </row>
    <row r="26" spans="1:3" x14ac:dyDescent="0.25">
      <c r="A26" s="6">
        <v>1521225</v>
      </c>
      <c r="B26" s="6" t="s">
        <v>103</v>
      </c>
      <c r="C26" s="6" t="s">
        <v>104</v>
      </c>
    </row>
    <row r="27" spans="1:3" x14ac:dyDescent="0.25">
      <c r="A27" s="6">
        <v>6666666</v>
      </c>
      <c r="B27" s="6" t="s">
        <v>105</v>
      </c>
      <c r="C27" s="6" t="s">
        <v>106</v>
      </c>
    </row>
    <row r="28" spans="1:3" x14ac:dyDescent="0.25">
      <c r="A28" s="6">
        <v>1522851</v>
      </c>
      <c r="B28" s="6" t="s">
        <v>107</v>
      </c>
      <c r="C28" s="6" t="s">
        <v>108</v>
      </c>
    </row>
    <row r="29" spans="1:3" x14ac:dyDescent="0.25">
      <c r="A29" s="6">
        <v>7777777</v>
      </c>
      <c r="B29" s="6" t="s">
        <v>109</v>
      </c>
      <c r="C29" s="6" t="s">
        <v>110</v>
      </c>
    </row>
    <row r="30" spans="1:3" x14ac:dyDescent="0.25">
      <c r="A30" s="6">
        <v>8888888</v>
      </c>
      <c r="B30" s="6" t="s">
        <v>111</v>
      </c>
      <c r="C30" s="6" t="s">
        <v>112</v>
      </c>
    </row>
    <row r="31" spans="1:3" x14ac:dyDescent="0.25">
      <c r="A31" s="6">
        <v>1522809</v>
      </c>
      <c r="B31" s="6" t="s">
        <v>113</v>
      </c>
      <c r="C31" s="6" t="s">
        <v>114</v>
      </c>
    </row>
    <row r="32" spans="1:3" x14ac:dyDescent="0.25">
      <c r="A32" s="6">
        <v>1521276</v>
      </c>
      <c r="B32" s="6" t="s">
        <v>115</v>
      </c>
      <c r="C32" s="6" t="s">
        <v>116</v>
      </c>
    </row>
    <row r="33" spans="1:3" x14ac:dyDescent="0.25">
      <c r="A33" s="6">
        <v>1522957</v>
      </c>
      <c r="B33" s="6" t="s">
        <v>117</v>
      </c>
      <c r="C33" s="6" t="s">
        <v>118</v>
      </c>
    </row>
    <row r="34" spans="1:3" x14ac:dyDescent="0.25">
      <c r="A34" s="6">
        <v>9999999</v>
      </c>
      <c r="B34" s="6" t="s">
        <v>119</v>
      </c>
      <c r="C34" s="6" t="s">
        <v>120</v>
      </c>
    </row>
    <row r="35" spans="1:3" x14ac:dyDescent="0.25">
      <c r="A35" s="6">
        <v>1522779</v>
      </c>
      <c r="B35" s="6" t="s">
        <v>121</v>
      </c>
      <c r="C35" s="6" t="s">
        <v>122</v>
      </c>
    </row>
    <row r="36" spans="1:3" x14ac:dyDescent="0.25">
      <c r="A36" s="6">
        <v>9999991</v>
      </c>
      <c r="B36" s="6" t="s">
        <v>123</v>
      </c>
      <c r="C36" s="6" t="s">
        <v>124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>
                  <from>
                    <xdr:col>3</xdr:col>
                    <xdr:colOff>279400</xdr:colOff>
                    <xdr:row>20</xdr:row>
                    <xdr:rowOff>146050</xdr:rowOff>
                  </from>
                  <to>
                    <xdr:col>4</xdr:col>
                    <xdr:colOff>571500</xdr:colOff>
                    <xdr:row>24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cro2">
                <anchor moveWithCells="1">
                  <from>
                    <xdr:col>6</xdr:col>
                    <xdr:colOff>469900</xdr:colOff>
                    <xdr:row>20</xdr:row>
                    <xdr:rowOff>127000</xdr:rowOff>
                  </from>
                  <to>
                    <xdr:col>8</xdr:col>
                    <xdr:colOff>285750</xdr:colOff>
                    <xdr:row>24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AX43"/>
  <sheetViews>
    <sheetView topLeftCell="G1" workbookViewId="0">
      <selection activeCell="AG1" sqref="AG1"/>
    </sheetView>
  </sheetViews>
  <sheetFormatPr defaultRowHeight="12.5" x14ac:dyDescent="0.25"/>
  <cols>
    <col min="1" max="1" width="13.54296875" style="6" bestFit="1" customWidth="1"/>
    <col min="2" max="2" width="30.26953125" style="6" bestFit="1" customWidth="1"/>
    <col min="3" max="3" width="30.1796875" style="6" bestFit="1" customWidth="1"/>
    <col min="4" max="4" width="7.453125" style="6" bestFit="1" customWidth="1"/>
    <col min="5" max="6" width="3.54296875" bestFit="1" customWidth="1"/>
    <col min="7" max="24" width="3.54296875" customWidth="1"/>
    <col min="25" max="25" width="13.1796875" bestFit="1" customWidth="1"/>
    <col min="26" max="26" width="12.54296875" style="6" bestFit="1" customWidth="1"/>
    <col min="27" max="28" width="6.54296875" style="6" bestFit="1" customWidth="1"/>
    <col min="29" max="29" width="6.54296875" bestFit="1" customWidth="1"/>
    <col min="30" max="30" width="13.26953125" style="6" bestFit="1" customWidth="1"/>
    <col min="31" max="31" width="12.7265625" style="6" bestFit="1" customWidth="1"/>
    <col min="32" max="32" width="15.26953125" style="19" bestFit="1" customWidth="1"/>
    <col min="33" max="33" width="14.81640625" style="19" bestFit="1" customWidth="1"/>
    <col min="35" max="35" width="10.1796875" bestFit="1" customWidth="1"/>
  </cols>
  <sheetData>
    <row r="1" spans="1:50" ht="13" x14ac:dyDescent="0.3">
      <c r="A1" s="6" t="str">
        <f>'Importar Dados'!A1</f>
        <v>CodigodoAluno</v>
      </c>
      <c r="B1" s="6" t="str">
        <f>'Importar Dados'!B1</f>
        <v>NomedoAluno</v>
      </c>
      <c r="C1" s="6" t="str">
        <f>'Importar Dados'!C1</f>
        <v>EmaildoAluno</v>
      </c>
      <c r="D1" s="1" t="s">
        <v>34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33" t="s">
        <v>132</v>
      </c>
      <c r="Z1" s="33" t="s">
        <v>133</v>
      </c>
      <c r="AA1" s="33" t="s">
        <v>46</v>
      </c>
      <c r="AB1" s="33" t="s">
        <v>47</v>
      </c>
      <c r="AC1" s="33" t="s">
        <v>48</v>
      </c>
      <c r="AD1" s="33" t="s">
        <v>134</v>
      </c>
      <c r="AE1" s="33" t="s">
        <v>135</v>
      </c>
      <c r="AF1" s="33" t="s">
        <v>54</v>
      </c>
      <c r="AG1" s="33" t="s">
        <v>136</v>
      </c>
      <c r="AH1" s="1" t="s">
        <v>33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</row>
    <row r="2" spans="1:50" x14ac:dyDescent="0.25">
      <c r="A2" s="6">
        <f>'Importar Dados'!A2</f>
        <v>1522752</v>
      </c>
      <c r="B2" s="6" t="str">
        <f>'Importar Dados'!B2</f>
        <v>Weber Resende de Araujo</v>
      </c>
      <c r="C2" s="6" t="str">
        <f>'Importar Dados'!C2</f>
        <v>resenarau@yahoo.com.br</v>
      </c>
      <c r="D2" s="6">
        <f ca="1">RANDBETWEEN(1,7)</f>
        <v>3</v>
      </c>
      <c r="E2" s="21" t="s">
        <v>2</v>
      </c>
      <c r="F2" s="21" t="s">
        <v>2</v>
      </c>
      <c r="G2" s="21" t="s">
        <v>2</v>
      </c>
      <c r="H2" s="21" t="s">
        <v>2</v>
      </c>
      <c r="I2" s="21" t="s">
        <v>2</v>
      </c>
      <c r="J2" s="21" t="s">
        <v>2</v>
      </c>
      <c r="K2" s="21" t="s">
        <v>2</v>
      </c>
      <c r="L2" s="21" t="s">
        <v>2</v>
      </c>
      <c r="M2" s="21" t="s">
        <v>2</v>
      </c>
      <c r="N2" s="21" t="s">
        <v>2</v>
      </c>
      <c r="O2" s="20" t="s">
        <v>2</v>
      </c>
      <c r="P2" s="20" t="s">
        <v>2</v>
      </c>
      <c r="Q2" s="20" t="s">
        <v>2</v>
      </c>
      <c r="R2" s="20" t="s">
        <v>2</v>
      </c>
      <c r="S2" s="21" t="s">
        <v>6</v>
      </c>
      <c r="T2" s="21" t="s">
        <v>57</v>
      </c>
      <c r="U2" s="21" t="s">
        <v>7</v>
      </c>
      <c r="V2" s="21" t="s">
        <v>56</v>
      </c>
      <c r="W2" s="21" t="s">
        <v>3</v>
      </c>
      <c r="X2" s="21" t="s">
        <v>55</v>
      </c>
      <c r="Y2" s="2"/>
      <c r="Z2" s="2"/>
      <c r="AA2" s="6">
        <f ca="1">RANDBETWEEN(1,10)</f>
        <v>6</v>
      </c>
      <c r="AB2" s="6">
        <f t="shared" ref="AB2:AC17" ca="1" si="0">RANDBETWEEN(1,10)</f>
        <v>8</v>
      </c>
      <c r="AC2" s="6">
        <f t="shared" ca="1" si="0"/>
        <v>9</v>
      </c>
      <c r="AD2" s="17"/>
      <c r="AE2" s="32" t="s">
        <v>0</v>
      </c>
      <c r="AF2" s="18"/>
      <c r="AG2" s="18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</row>
    <row r="3" spans="1:50" x14ac:dyDescent="0.25">
      <c r="A3" s="6">
        <f>'Importar Dados'!A3</f>
        <v>152540</v>
      </c>
      <c r="B3" s="6" t="str">
        <f>'Importar Dados'!B3</f>
        <v>Felipe G. do Nascimento</v>
      </c>
      <c r="C3" s="6" t="str">
        <f>'Importar Dados'!C3</f>
        <v xml:space="preserve">felipe1.jn@hotmail.com	</v>
      </c>
      <c r="D3" s="6">
        <f ca="1">RANDBETWEEN(1,7)</f>
        <v>4</v>
      </c>
      <c r="E3" s="20" t="s">
        <v>3</v>
      </c>
      <c r="F3" s="20" t="s">
        <v>3</v>
      </c>
      <c r="G3" s="20" t="s">
        <v>3</v>
      </c>
      <c r="H3" s="20" t="s">
        <v>3</v>
      </c>
      <c r="I3" s="20" t="s">
        <v>3</v>
      </c>
      <c r="J3" s="20" t="s">
        <v>3</v>
      </c>
      <c r="K3" s="20" t="s">
        <v>2</v>
      </c>
      <c r="L3" s="20" t="s">
        <v>2</v>
      </c>
      <c r="M3" s="20" t="s">
        <v>2</v>
      </c>
      <c r="N3" s="20" t="s">
        <v>2</v>
      </c>
      <c r="O3" s="20" t="s">
        <v>2</v>
      </c>
      <c r="P3" s="20" t="s">
        <v>2</v>
      </c>
      <c r="Q3" s="20" t="s">
        <v>2</v>
      </c>
      <c r="R3" s="20" t="s">
        <v>2</v>
      </c>
      <c r="S3" s="20" t="s">
        <v>2</v>
      </c>
      <c r="T3" s="20" t="s">
        <v>2</v>
      </c>
      <c r="U3" s="20" t="s">
        <v>2</v>
      </c>
      <c r="V3" s="20" t="s">
        <v>2</v>
      </c>
      <c r="W3" s="20" t="s">
        <v>2</v>
      </c>
      <c r="X3" s="20" t="s">
        <v>2</v>
      </c>
      <c r="Y3" s="2"/>
      <c r="Z3" s="2"/>
      <c r="AA3" s="6">
        <f t="shared" ref="AA3:AC36" ca="1" si="1">RANDBETWEEN(1,10)</f>
        <v>7</v>
      </c>
      <c r="AB3" s="6">
        <f t="shared" ca="1" si="0"/>
        <v>2</v>
      </c>
      <c r="AC3" s="6">
        <f t="shared" ca="1" si="0"/>
        <v>9</v>
      </c>
      <c r="AD3" s="17"/>
      <c r="AE3" s="17"/>
      <c r="AF3" s="18"/>
      <c r="AG3" s="18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</row>
    <row r="4" spans="1:50" ht="13" x14ac:dyDescent="0.3">
      <c r="A4" s="6">
        <f>'Importar Dados'!A4</f>
        <v>1512978</v>
      </c>
      <c r="B4" s="6" t="str">
        <f>'Importar Dados'!B4</f>
        <v>Lucas Cesar Medeiros</v>
      </c>
      <c r="C4" s="6" t="str">
        <f>'Importar Dados'!C4</f>
        <v>lukankuro@hotmail.com</v>
      </c>
      <c r="D4" s="6">
        <f t="shared" ref="D4:D36" ca="1" si="2">RANDBETWEEN(1,7)</f>
        <v>4</v>
      </c>
      <c r="E4" s="20" t="s">
        <v>3</v>
      </c>
      <c r="F4" s="20" t="s">
        <v>2</v>
      </c>
      <c r="G4" s="20" t="s">
        <v>3</v>
      </c>
      <c r="H4" s="20" t="s">
        <v>2</v>
      </c>
      <c r="I4" s="20" t="s">
        <v>2</v>
      </c>
      <c r="J4" s="20" t="s">
        <v>2</v>
      </c>
      <c r="K4" s="20" t="s">
        <v>2</v>
      </c>
      <c r="L4" s="20" t="s">
        <v>2</v>
      </c>
      <c r="M4" s="20" t="s">
        <v>2</v>
      </c>
      <c r="N4" s="20" t="s">
        <v>2</v>
      </c>
      <c r="O4" s="20" t="s">
        <v>2</v>
      </c>
      <c r="P4" s="21" t="s">
        <v>55</v>
      </c>
      <c r="Q4" s="21" t="s">
        <v>55</v>
      </c>
      <c r="R4" s="21" t="s">
        <v>55</v>
      </c>
      <c r="S4" s="21" t="s">
        <v>55</v>
      </c>
      <c r="T4" s="20" t="s">
        <v>2</v>
      </c>
      <c r="U4" s="20" t="s">
        <v>2</v>
      </c>
      <c r="V4" s="20" t="s">
        <v>2</v>
      </c>
      <c r="W4" s="20" t="s">
        <v>2</v>
      </c>
      <c r="X4" s="20" t="s">
        <v>2</v>
      </c>
      <c r="Y4" s="2"/>
      <c r="Z4" s="2"/>
      <c r="AA4" s="6">
        <f t="shared" ca="1" si="1"/>
        <v>1</v>
      </c>
      <c r="AB4" s="6">
        <f t="shared" ca="1" si="0"/>
        <v>6</v>
      </c>
      <c r="AC4" s="6">
        <f t="shared" ca="1" si="0"/>
        <v>7</v>
      </c>
      <c r="AD4" s="17"/>
      <c r="AE4" s="17"/>
      <c r="AF4" s="18"/>
      <c r="AG4" s="18"/>
      <c r="AH4" s="1" t="s">
        <v>138</v>
      </c>
      <c r="AI4" s="15" t="s">
        <v>137</v>
      </c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</row>
    <row r="5" spans="1:50" x14ac:dyDescent="0.25">
      <c r="A5" s="6">
        <f>'Importar Dados'!A5</f>
        <v>152126</v>
      </c>
      <c r="B5" s="6" t="str">
        <f>'Importar Dados'!B5</f>
        <v>Wilder Roberto Ramon Pereira</v>
      </c>
      <c r="C5" s="6" t="str">
        <f>'Importar Dados'!C5</f>
        <v>wilder_roberto@hotmail.com</v>
      </c>
      <c r="D5" s="6">
        <f t="shared" ca="1" si="2"/>
        <v>3</v>
      </c>
      <c r="E5" s="21" t="s">
        <v>55</v>
      </c>
      <c r="F5" s="20" t="s">
        <v>2</v>
      </c>
      <c r="G5" s="20" t="s">
        <v>2</v>
      </c>
      <c r="H5" s="20" t="s">
        <v>2</v>
      </c>
      <c r="I5" s="20" t="s">
        <v>2</v>
      </c>
      <c r="J5" s="20" t="s">
        <v>2</v>
      </c>
      <c r="K5" s="20" t="s">
        <v>2</v>
      </c>
      <c r="L5" s="20" t="s">
        <v>2</v>
      </c>
      <c r="M5" s="20" t="s">
        <v>2</v>
      </c>
      <c r="N5" s="20" t="s">
        <v>2</v>
      </c>
      <c r="O5" s="20" t="s">
        <v>2</v>
      </c>
      <c r="P5" s="20" t="s">
        <v>2</v>
      </c>
      <c r="Q5" s="20" t="s">
        <v>2</v>
      </c>
      <c r="R5" s="20" t="s">
        <v>2</v>
      </c>
      <c r="S5" s="20" t="s">
        <v>2</v>
      </c>
      <c r="T5" s="20" t="s">
        <v>2</v>
      </c>
      <c r="U5" s="20" t="s">
        <v>2</v>
      </c>
      <c r="V5" s="20" t="s">
        <v>2</v>
      </c>
      <c r="W5" s="20" t="s">
        <v>2</v>
      </c>
      <c r="X5" s="20" t="s">
        <v>2</v>
      </c>
      <c r="Y5" s="2"/>
      <c r="Z5" s="2"/>
      <c r="AA5" s="6">
        <f t="shared" ca="1" si="1"/>
        <v>10</v>
      </c>
      <c r="AB5" s="6">
        <f t="shared" ca="1" si="0"/>
        <v>7</v>
      </c>
      <c r="AC5" s="6">
        <f t="shared" ca="1" si="0"/>
        <v>8</v>
      </c>
      <c r="AD5" s="17"/>
      <c r="AE5" s="17"/>
      <c r="AF5" s="18"/>
      <c r="AG5" s="18"/>
      <c r="AH5" s="2" t="s">
        <v>0</v>
      </c>
      <c r="AI5" s="2" t="s">
        <v>0</v>
      </c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</row>
    <row r="6" spans="1:50" x14ac:dyDescent="0.25">
      <c r="A6" s="6">
        <f>'Importar Dados'!A6</f>
        <v>1521357</v>
      </c>
      <c r="B6" s="6" t="str">
        <f>'Importar Dados'!B6</f>
        <v>Solimar Castro Gomes</v>
      </c>
      <c r="C6" s="6" t="str">
        <f>'Importar Dados'!C6</f>
        <v>solimargomes@suzano.sp.gov.br</v>
      </c>
      <c r="D6" s="6">
        <f t="shared" ca="1" si="2"/>
        <v>1</v>
      </c>
      <c r="E6" s="20" t="s">
        <v>2</v>
      </c>
      <c r="F6" s="20" t="s">
        <v>2</v>
      </c>
      <c r="G6" s="20" t="s">
        <v>2</v>
      </c>
      <c r="H6" s="20" t="s">
        <v>2</v>
      </c>
      <c r="I6" s="20" t="s">
        <v>2</v>
      </c>
      <c r="J6" s="20" t="s">
        <v>2</v>
      </c>
      <c r="K6" s="20" t="s">
        <v>2</v>
      </c>
      <c r="L6" s="20" t="s">
        <v>2</v>
      </c>
      <c r="M6" s="20" t="s">
        <v>2</v>
      </c>
      <c r="N6" s="20" t="s">
        <v>2</v>
      </c>
      <c r="O6" s="20" t="s">
        <v>2</v>
      </c>
      <c r="P6" s="20" t="s">
        <v>2</v>
      </c>
      <c r="Q6" s="20" t="s">
        <v>2</v>
      </c>
      <c r="R6" s="20" t="s">
        <v>2</v>
      </c>
      <c r="S6" s="20" t="s">
        <v>2</v>
      </c>
      <c r="T6" s="20" t="s">
        <v>2</v>
      </c>
      <c r="U6" s="20" t="s">
        <v>2</v>
      </c>
      <c r="V6" s="20" t="s">
        <v>2</v>
      </c>
      <c r="W6" s="20" t="s">
        <v>2</v>
      </c>
      <c r="X6" s="20" t="s">
        <v>2</v>
      </c>
      <c r="Y6" s="2"/>
      <c r="Z6" s="2"/>
      <c r="AA6" s="6">
        <f t="shared" ca="1" si="1"/>
        <v>1</v>
      </c>
      <c r="AB6" s="6">
        <f t="shared" ca="1" si="0"/>
        <v>1</v>
      </c>
      <c r="AC6" s="6">
        <f t="shared" ca="1" si="0"/>
        <v>10</v>
      </c>
      <c r="AD6" s="17"/>
      <c r="AE6" s="17"/>
      <c r="AF6" s="18"/>
      <c r="AG6" s="18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</row>
    <row r="7" spans="1:50" x14ac:dyDescent="0.25">
      <c r="A7" s="6">
        <f>'Importar Dados'!A7</f>
        <v>1522841</v>
      </c>
      <c r="B7" s="6" t="str">
        <f>'Importar Dados'!B7</f>
        <v>Caio de Oliveira Reis</v>
      </c>
      <c r="C7" s="6" t="str">
        <f>'Importar Dados'!C7</f>
        <v>caio.oliveira.reis@gmail.com</v>
      </c>
      <c r="D7" s="6">
        <f t="shared" ca="1" si="2"/>
        <v>5</v>
      </c>
      <c r="E7" s="20" t="s">
        <v>2</v>
      </c>
      <c r="F7" s="20" t="s">
        <v>2</v>
      </c>
      <c r="G7" s="20" t="s">
        <v>2</v>
      </c>
      <c r="H7" s="20" t="s">
        <v>2</v>
      </c>
      <c r="I7" s="20" t="s">
        <v>2</v>
      </c>
      <c r="J7" s="20" t="s">
        <v>2</v>
      </c>
      <c r="K7" s="20" t="s">
        <v>2</v>
      </c>
      <c r="L7" s="20" t="s">
        <v>2</v>
      </c>
      <c r="M7" s="20" t="s">
        <v>2</v>
      </c>
      <c r="N7" s="20" t="s">
        <v>2</v>
      </c>
      <c r="O7" s="20" t="s">
        <v>2</v>
      </c>
      <c r="P7" s="20" t="s">
        <v>2</v>
      </c>
      <c r="Q7" s="20" t="s">
        <v>2</v>
      </c>
      <c r="R7" s="20" t="s">
        <v>2</v>
      </c>
      <c r="S7" s="20" t="s">
        <v>2</v>
      </c>
      <c r="T7" s="20" t="s">
        <v>2</v>
      </c>
      <c r="U7" s="20" t="s">
        <v>2</v>
      </c>
      <c r="V7" s="20" t="s">
        <v>2</v>
      </c>
      <c r="W7" s="20" t="s">
        <v>2</v>
      </c>
      <c r="X7" s="20" t="s">
        <v>2</v>
      </c>
      <c r="Y7" s="2"/>
      <c r="Z7" s="2"/>
      <c r="AA7" s="6">
        <f t="shared" ca="1" si="1"/>
        <v>2</v>
      </c>
      <c r="AB7" s="6">
        <f t="shared" ca="1" si="0"/>
        <v>3</v>
      </c>
      <c r="AC7" s="6">
        <f t="shared" ca="1" si="0"/>
        <v>1</v>
      </c>
      <c r="AD7" s="17"/>
      <c r="AE7" s="17"/>
      <c r="AF7" s="18"/>
      <c r="AG7" s="18"/>
      <c r="AH7" s="2" t="s">
        <v>8</v>
      </c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</row>
    <row r="8" spans="1:50" x14ac:dyDescent="0.25">
      <c r="A8" s="6">
        <f>'Importar Dados'!A8</f>
        <v>152292</v>
      </c>
      <c r="B8" s="6" t="str">
        <f>'Importar Dados'!B8</f>
        <v>Adriano Teixeira Mendes</v>
      </c>
      <c r="C8" s="6" t="str">
        <f>'Importar Dados'!C8</f>
        <v>adrianoteixeiramendes@yahoo.com.br</v>
      </c>
      <c r="D8" s="6">
        <f t="shared" ca="1" si="2"/>
        <v>3</v>
      </c>
      <c r="E8" s="20" t="s">
        <v>2</v>
      </c>
      <c r="F8" s="20" t="s">
        <v>2</v>
      </c>
      <c r="G8" s="20" t="s">
        <v>2</v>
      </c>
      <c r="H8" s="20" t="s">
        <v>2</v>
      </c>
      <c r="I8" s="20" t="s">
        <v>2</v>
      </c>
      <c r="J8" s="20" t="s">
        <v>2</v>
      </c>
      <c r="K8" s="20" t="s">
        <v>2</v>
      </c>
      <c r="L8" s="20" t="s">
        <v>2</v>
      </c>
      <c r="M8" s="20" t="s">
        <v>2</v>
      </c>
      <c r="N8" s="20" t="s">
        <v>2</v>
      </c>
      <c r="O8" s="20" t="s">
        <v>2</v>
      </c>
      <c r="P8" s="20" t="s">
        <v>2</v>
      </c>
      <c r="Q8" s="20" t="s">
        <v>2</v>
      </c>
      <c r="R8" s="20" t="s">
        <v>2</v>
      </c>
      <c r="S8" s="20" t="s">
        <v>2</v>
      </c>
      <c r="T8" s="20" t="s">
        <v>2</v>
      </c>
      <c r="U8" s="20" t="s">
        <v>2</v>
      </c>
      <c r="V8" s="20" t="s">
        <v>2</v>
      </c>
      <c r="W8" s="20" t="s">
        <v>2</v>
      </c>
      <c r="X8" s="20" t="s">
        <v>2</v>
      </c>
      <c r="Y8" s="2"/>
      <c r="Z8" s="2"/>
      <c r="AA8" s="6">
        <f t="shared" ca="1" si="1"/>
        <v>7</v>
      </c>
      <c r="AB8" s="6">
        <f t="shared" ca="1" si="0"/>
        <v>9</v>
      </c>
      <c r="AC8" s="6">
        <f t="shared" ca="1" si="0"/>
        <v>5</v>
      </c>
      <c r="AD8" s="17"/>
      <c r="AE8" s="17"/>
      <c r="AF8" s="18"/>
      <c r="AG8" s="18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</row>
    <row r="9" spans="1:50" x14ac:dyDescent="0.25">
      <c r="A9" s="6">
        <f>'Importar Dados'!A9</f>
        <v>1522711</v>
      </c>
      <c r="B9" s="6" t="str">
        <f>'Importar Dados'!B9</f>
        <v>Igor de Oliveira Souza</v>
      </c>
      <c r="C9" s="6" t="str">
        <f>'Importar Dados'!C9</f>
        <v>iosouza150293@gmail.com</v>
      </c>
      <c r="D9" s="6">
        <f t="shared" ca="1" si="2"/>
        <v>4</v>
      </c>
      <c r="E9" s="20" t="s">
        <v>2</v>
      </c>
      <c r="F9" s="20" t="s">
        <v>2</v>
      </c>
      <c r="G9" s="20" t="s">
        <v>2</v>
      </c>
      <c r="H9" s="20" t="s">
        <v>2</v>
      </c>
      <c r="I9" s="20" t="s">
        <v>2</v>
      </c>
      <c r="J9" s="20" t="s">
        <v>2</v>
      </c>
      <c r="K9" s="20" t="s">
        <v>2</v>
      </c>
      <c r="L9" s="20" t="s">
        <v>2</v>
      </c>
      <c r="M9" s="20" t="s">
        <v>2</v>
      </c>
      <c r="N9" s="20" t="s">
        <v>2</v>
      </c>
      <c r="O9" s="20" t="s">
        <v>2</v>
      </c>
      <c r="P9" s="20" t="s">
        <v>2</v>
      </c>
      <c r="Q9" s="20" t="s">
        <v>2</v>
      </c>
      <c r="R9" s="20" t="s">
        <v>2</v>
      </c>
      <c r="S9" s="20" t="s">
        <v>2</v>
      </c>
      <c r="T9" s="20" t="s">
        <v>2</v>
      </c>
      <c r="U9" s="20" t="s">
        <v>2</v>
      </c>
      <c r="V9" s="20" t="s">
        <v>2</v>
      </c>
      <c r="W9" s="20" t="s">
        <v>2</v>
      </c>
      <c r="X9" s="20" t="s">
        <v>2</v>
      </c>
      <c r="Y9" s="2"/>
      <c r="Z9" s="2"/>
      <c r="AA9" s="6">
        <f t="shared" ca="1" si="1"/>
        <v>3</v>
      </c>
      <c r="AB9" s="6">
        <f t="shared" ca="1" si="0"/>
        <v>5</v>
      </c>
      <c r="AC9" s="6">
        <f t="shared" ca="1" si="0"/>
        <v>5</v>
      </c>
      <c r="AD9" s="17"/>
      <c r="AE9" s="17"/>
      <c r="AF9" s="18"/>
      <c r="AG9" s="18"/>
      <c r="AH9" s="2" t="s">
        <v>9</v>
      </c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</row>
    <row r="10" spans="1:50" x14ac:dyDescent="0.25">
      <c r="A10" s="6">
        <f>'Importar Dados'!A10</f>
        <v>1525395</v>
      </c>
      <c r="B10" s="6" t="str">
        <f>'Importar Dados'!B10</f>
        <v>Thiago dos Santos Silva</v>
      </c>
      <c r="C10" s="6" t="str">
        <f>'Importar Dados'!C10</f>
        <v>thiagosilvatecinfo@gmail.com</v>
      </c>
      <c r="D10" s="6">
        <f t="shared" ca="1" si="2"/>
        <v>2</v>
      </c>
      <c r="E10" s="20" t="s">
        <v>2</v>
      </c>
      <c r="F10" s="20" t="s">
        <v>2</v>
      </c>
      <c r="G10" s="20" t="s">
        <v>2</v>
      </c>
      <c r="H10" s="20" t="s">
        <v>2</v>
      </c>
      <c r="I10" s="20" t="s">
        <v>2</v>
      </c>
      <c r="J10" s="20" t="s">
        <v>2</v>
      </c>
      <c r="K10" s="20" t="s">
        <v>2</v>
      </c>
      <c r="L10" s="20" t="s">
        <v>2</v>
      </c>
      <c r="M10" s="20" t="s">
        <v>2</v>
      </c>
      <c r="N10" s="20" t="s">
        <v>2</v>
      </c>
      <c r="O10" s="20" t="s">
        <v>2</v>
      </c>
      <c r="P10" s="20" t="s">
        <v>2</v>
      </c>
      <c r="Q10" s="20" t="s">
        <v>2</v>
      </c>
      <c r="R10" s="20" t="s">
        <v>2</v>
      </c>
      <c r="S10" s="20" t="s">
        <v>2</v>
      </c>
      <c r="T10" s="20" t="s">
        <v>2</v>
      </c>
      <c r="U10" s="20" t="s">
        <v>2</v>
      </c>
      <c r="V10" s="20" t="s">
        <v>2</v>
      </c>
      <c r="W10" s="20" t="s">
        <v>2</v>
      </c>
      <c r="X10" s="20" t="s">
        <v>2</v>
      </c>
      <c r="Y10" s="2"/>
      <c r="Z10" s="2"/>
      <c r="AA10" s="6">
        <f t="shared" ca="1" si="1"/>
        <v>6</v>
      </c>
      <c r="AB10" s="6">
        <f t="shared" ca="1" si="0"/>
        <v>9</v>
      </c>
      <c r="AC10" s="6">
        <f t="shared" ca="1" si="0"/>
        <v>3</v>
      </c>
      <c r="AD10" s="17"/>
      <c r="AE10" s="17"/>
      <c r="AF10" s="18"/>
      <c r="AG10" s="18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</row>
    <row r="11" spans="1:50" x14ac:dyDescent="0.25">
      <c r="A11" s="6">
        <f>'Importar Dados'!A11</f>
        <v>1522949</v>
      </c>
      <c r="B11" s="6" t="str">
        <f>'Importar Dados'!B11</f>
        <v>Fabio Soares Diniz Xavier</v>
      </c>
      <c r="C11" s="6" t="str">
        <f>'Importar Dados'!C11</f>
        <v>fabaixista@msn.com</v>
      </c>
      <c r="D11" s="6">
        <f t="shared" ca="1" si="2"/>
        <v>2</v>
      </c>
      <c r="E11" s="20" t="s">
        <v>2</v>
      </c>
      <c r="F11" s="20" t="s">
        <v>2</v>
      </c>
      <c r="G11" s="20" t="s">
        <v>2</v>
      </c>
      <c r="H11" s="20" t="s">
        <v>2</v>
      </c>
      <c r="I11" s="20" t="s">
        <v>2</v>
      </c>
      <c r="J11" s="20" t="s">
        <v>2</v>
      </c>
      <c r="K11" s="20" t="s">
        <v>2</v>
      </c>
      <c r="L11" s="20" t="s">
        <v>2</v>
      </c>
      <c r="M11" s="20" t="s">
        <v>2</v>
      </c>
      <c r="N11" s="20" t="s">
        <v>2</v>
      </c>
      <c r="O11" s="20" t="s">
        <v>2</v>
      </c>
      <c r="P11" s="20" t="s">
        <v>2</v>
      </c>
      <c r="Q11" s="20" t="s">
        <v>2</v>
      </c>
      <c r="R11" s="20" t="s">
        <v>2</v>
      </c>
      <c r="S11" s="20" t="s">
        <v>2</v>
      </c>
      <c r="T11" s="20" t="s">
        <v>2</v>
      </c>
      <c r="U11" s="20" t="s">
        <v>2</v>
      </c>
      <c r="V11" s="20" t="s">
        <v>2</v>
      </c>
      <c r="W11" s="20" t="s">
        <v>2</v>
      </c>
      <c r="X11" s="20" t="s">
        <v>2</v>
      </c>
      <c r="Y11" s="2"/>
      <c r="Z11" s="2"/>
      <c r="AA11" s="6">
        <f t="shared" ca="1" si="1"/>
        <v>1</v>
      </c>
      <c r="AB11" s="6">
        <f t="shared" ca="1" si="0"/>
        <v>6</v>
      </c>
      <c r="AC11" s="6">
        <f t="shared" ca="1" si="0"/>
        <v>2</v>
      </c>
      <c r="AD11" s="17"/>
      <c r="AE11" s="17"/>
      <c r="AF11" s="18"/>
      <c r="AG11" s="18"/>
      <c r="AH11" s="2" t="s">
        <v>19</v>
      </c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</row>
    <row r="12" spans="1:50" x14ac:dyDescent="0.25">
      <c r="A12" s="6">
        <f>'Importar Dados'!A12</f>
        <v>1111111</v>
      </c>
      <c r="B12" s="6" t="str">
        <f>'Importar Dados'!B12</f>
        <v>Geraldo Yogui</v>
      </c>
      <c r="C12" s="6" t="str">
        <f>'Importar Dados'!C12</f>
        <v>yoguigeraldo@yahoo.com.br</v>
      </c>
      <c r="D12" s="6">
        <f t="shared" ca="1" si="2"/>
        <v>6</v>
      </c>
      <c r="E12" s="20" t="s">
        <v>2</v>
      </c>
      <c r="F12" s="20" t="s">
        <v>2</v>
      </c>
      <c r="G12" s="20" t="s">
        <v>2</v>
      </c>
      <c r="H12" s="20" t="s">
        <v>2</v>
      </c>
      <c r="I12" s="20" t="s">
        <v>2</v>
      </c>
      <c r="J12" s="20" t="s">
        <v>2</v>
      </c>
      <c r="K12" s="20" t="s">
        <v>2</v>
      </c>
      <c r="L12" s="20" t="s">
        <v>2</v>
      </c>
      <c r="M12" s="20" t="s">
        <v>2</v>
      </c>
      <c r="N12" s="20" t="s">
        <v>2</v>
      </c>
      <c r="O12" s="20" t="s">
        <v>2</v>
      </c>
      <c r="P12" s="20" t="s">
        <v>2</v>
      </c>
      <c r="Q12" s="20" t="s">
        <v>2</v>
      </c>
      <c r="R12" s="20" t="s">
        <v>2</v>
      </c>
      <c r="S12" s="20" t="s">
        <v>2</v>
      </c>
      <c r="T12" s="20" t="s">
        <v>2</v>
      </c>
      <c r="U12" s="20" t="s">
        <v>2</v>
      </c>
      <c r="V12" s="20" t="s">
        <v>2</v>
      </c>
      <c r="W12" s="20" t="s">
        <v>2</v>
      </c>
      <c r="X12" s="20" t="s">
        <v>2</v>
      </c>
      <c r="Y12" s="2"/>
      <c r="Z12" s="2"/>
      <c r="AA12" s="6">
        <f t="shared" ca="1" si="1"/>
        <v>9</v>
      </c>
      <c r="AB12" s="6">
        <f t="shared" ca="1" si="0"/>
        <v>5</v>
      </c>
      <c r="AC12" s="6">
        <f t="shared" ca="1" si="0"/>
        <v>7</v>
      </c>
      <c r="AD12" s="17"/>
      <c r="AE12" s="17"/>
      <c r="AF12" s="18"/>
      <c r="AG12" s="18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</row>
    <row r="13" spans="1:50" x14ac:dyDescent="0.25">
      <c r="A13" s="6">
        <f>'Importar Dados'!A13</f>
        <v>1522744</v>
      </c>
      <c r="B13" s="6" t="str">
        <f>'Importar Dados'!B13</f>
        <v>Yasmim Petarnella Chaves</v>
      </c>
      <c r="C13" s="6" t="str">
        <f>'Importar Dados'!C13</f>
        <v>ypchaves@hotmail.com</v>
      </c>
      <c r="D13" s="6">
        <f t="shared" ca="1" si="2"/>
        <v>6</v>
      </c>
      <c r="E13" s="20" t="s">
        <v>2</v>
      </c>
      <c r="F13" s="20" t="s">
        <v>2</v>
      </c>
      <c r="G13" s="20" t="s">
        <v>2</v>
      </c>
      <c r="H13" s="20" t="s">
        <v>2</v>
      </c>
      <c r="I13" s="20" t="s">
        <v>2</v>
      </c>
      <c r="J13" s="20" t="s">
        <v>2</v>
      </c>
      <c r="K13" s="20" t="s">
        <v>2</v>
      </c>
      <c r="L13" s="20" t="s">
        <v>2</v>
      </c>
      <c r="M13" s="20" t="s">
        <v>2</v>
      </c>
      <c r="N13" s="20" t="s">
        <v>2</v>
      </c>
      <c r="O13" s="20" t="s">
        <v>2</v>
      </c>
      <c r="P13" s="20" t="s">
        <v>2</v>
      </c>
      <c r="Q13" s="20" t="s">
        <v>2</v>
      </c>
      <c r="R13" s="20" t="s">
        <v>2</v>
      </c>
      <c r="S13" s="20" t="s">
        <v>2</v>
      </c>
      <c r="T13" s="20" t="s">
        <v>2</v>
      </c>
      <c r="U13" s="20" t="s">
        <v>2</v>
      </c>
      <c r="V13" s="20" t="s">
        <v>2</v>
      </c>
      <c r="W13" s="20" t="s">
        <v>2</v>
      </c>
      <c r="X13" s="20" t="s">
        <v>2</v>
      </c>
      <c r="Y13" s="2"/>
      <c r="Z13" s="2"/>
      <c r="AA13" s="6">
        <f t="shared" ca="1" si="1"/>
        <v>5</v>
      </c>
      <c r="AB13" s="6">
        <f t="shared" ca="1" si="0"/>
        <v>1</v>
      </c>
      <c r="AC13" s="6">
        <f t="shared" ca="1" si="0"/>
        <v>7</v>
      </c>
      <c r="AD13" s="17"/>
      <c r="AE13" s="17"/>
      <c r="AF13" s="18"/>
      <c r="AG13" s="18"/>
      <c r="AH13" s="2" t="s">
        <v>20</v>
      </c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</row>
    <row r="14" spans="1:50" x14ac:dyDescent="0.25">
      <c r="A14" s="6">
        <f>'Importar Dados'!A14</f>
        <v>1522914</v>
      </c>
      <c r="B14" s="6" t="str">
        <f>'Importar Dados'!B14</f>
        <v>Virgínia Vitória Bastos Bichler</v>
      </c>
      <c r="C14" s="6" t="str">
        <f>'Importar Dados'!C14</f>
        <v>virginiabichler21@gmail.com</v>
      </c>
      <c r="D14" s="6">
        <f t="shared" ca="1" si="2"/>
        <v>3</v>
      </c>
      <c r="E14" s="20" t="s">
        <v>2</v>
      </c>
      <c r="F14" s="20" t="s">
        <v>2</v>
      </c>
      <c r="G14" s="20" t="s">
        <v>2</v>
      </c>
      <c r="H14" s="20" t="s">
        <v>2</v>
      </c>
      <c r="I14" s="20" t="s">
        <v>2</v>
      </c>
      <c r="J14" s="20" t="s">
        <v>2</v>
      </c>
      <c r="K14" s="20" t="s">
        <v>2</v>
      </c>
      <c r="L14" s="20" t="s">
        <v>2</v>
      </c>
      <c r="M14" s="20" t="s">
        <v>2</v>
      </c>
      <c r="N14" s="20" t="s">
        <v>2</v>
      </c>
      <c r="O14" s="20" t="s">
        <v>2</v>
      </c>
      <c r="P14" s="20" t="s">
        <v>2</v>
      </c>
      <c r="Q14" s="20" t="s">
        <v>2</v>
      </c>
      <c r="R14" s="20" t="s">
        <v>2</v>
      </c>
      <c r="S14" s="20" t="s">
        <v>2</v>
      </c>
      <c r="T14" s="20" t="s">
        <v>2</v>
      </c>
      <c r="U14" s="20" t="s">
        <v>2</v>
      </c>
      <c r="V14" s="20" t="s">
        <v>2</v>
      </c>
      <c r="W14" s="20" t="s">
        <v>2</v>
      </c>
      <c r="X14" s="20" t="s">
        <v>2</v>
      </c>
      <c r="Y14" s="2"/>
      <c r="Z14" s="2"/>
      <c r="AA14" s="6">
        <f t="shared" ca="1" si="1"/>
        <v>9</v>
      </c>
      <c r="AB14" s="6">
        <f t="shared" ca="1" si="0"/>
        <v>2</v>
      </c>
      <c r="AC14" s="6">
        <f t="shared" ca="1" si="0"/>
        <v>1</v>
      </c>
      <c r="AD14" s="17"/>
      <c r="AE14" s="17"/>
      <c r="AF14" s="18"/>
      <c r="AG14" s="18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</row>
    <row r="15" spans="1:50" x14ac:dyDescent="0.25">
      <c r="A15" s="6">
        <f>'Importar Dados'!A15</f>
        <v>2222222</v>
      </c>
      <c r="B15" s="6" t="str">
        <f>'Importar Dados'!B15</f>
        <v>Alexandre Paiva Bezerra</v>
      </c>
      <c r="C15" s="6" t="str">
        <f>'Importar Dados'!C15</f>
        <v>alexandrepaiva_2@hotmail.com</v>
      </c>
      <c r="D15" s="6">
        <f t="shared" ca="1" si="2"/>
        <v>1</v>
      </c>
      <c r="E15" s="20" t="s">
        <v>2</v>
      </c>
      <c r="F15" s="20" t="s">
        <v>2</v>
      </c>
      <c r="G15" s="20" t="s">
        <v>2</v>
      </c>
      <c r="H15" s="20" t="s">
        <v>2</v>
      </c>
      <c r="I15" s="20" t="s">
        <v>2</v>
      </c>
      <c r="J15" s="20" t="s">
        <v>2</v>
      </c>
      <c r="K15" s="20" t="s">
        <v>2</v>
      </c>
      <c r="L15" s="20" t="s">
        <v>2</v>
      </c>
      <c r="M15" s="20" t="s">
        <v>2</v>
      </c>
      <c r="N15" s="20" t="s">
        <v>2</v>
      </c>
      <c r="O15" s="20" t="s">
        <v>2</v>
      </c>
      <c r="P15" s="20" t="s">
        <v>2</v>
      </c>
      <c r="Q15" s="20" t="s">
        <v>2</v>
      </c>
      <c r="R15" s="20" t="s">
        <v>2</v>
      </c>
      <c r="S15" s="20" t="s">
        <v>2</v>
      </c>
      <c r="T15" s="20" t="s">
        <v>2</v>
      </c>
      <c r="U15" s="20" t="s">
        <v>2</v>
      </c>
      <c r="V15" s="20" t="s">
        <v>2</v>
      </c>
      <c r="W15" s="20" t="s">
        <v>2</v>
      </c>
      <c r="X15" s="20" t="s">
        <v>2</v>
      </c>
      <c r="Y15" s="2"/>
      <c r="Z15" s="2"/>
      <c r="AA15" s="6">
        <f t="shared" ca="1" si="1"/>
        <v>8</v>
      </c>
      <c r="AB15" s="6">
        <f t="shared" ca="1" si="0"/>
        <v>4</v>
      </c>
      <c r="AC15" s="6">
        <f t="shared" ca="1" si="0"/>
        <v>4</v>
      </c>
      <c r="AD15" s="17"/>
      <c r="AE15" s="17"/>
      <c r="AF15" s="18"/>
      <c r="AG15" s="18"/>
      <c r="AH15" s="6"/>
      <c r="AI15" s="6"/>
      <c r="AJ15" s="6"/>
      <c r="AK15" s="7" t="s">
        <v>12</v>
      </c>
      <c r="AL15" s="8" t="s">
        <v>1</v>
      </c>
      <c r="AM15" s="9" t="s">
        <v>13</v>
      </c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</row>
    <row r="16" spans="1:50" x14ac:dyDescent="0.25">
      <c r="A16" s="6">
        <f>'Importar Dados'!A16</f>
        <v>1521330</v>
      </c>
      <c r="B16" s="6" t="str">
        <f>'Importar Dados'!B16</f>
        <v>Francisco Edyr Sousa da Silva Segundo</v>
      </c>
      <c r="C16" s="6" t="str">
        <f>'Importar Dados'!C16</f>
        <v>fs.cs07@hotmail.com</v>
      </c>
      <c r="D16" s="6">
        <f t="shared" ca="1" si="2"/>
        <v>3</v>
      </c>
      <c r="E16" s="20" t="s">
        <v>2</v>
      </c>
      <c r="F16" s="20" t="s">
        <v>2</v>
      </c>
      <c r="G16" s="20" t="s">
        <v>2</v>
      </c>
      <c r="H16" s="20" t="s">
        <v>2</v>
      </c>
      <c r="I16" s="20" t="s">
        <v>2</v>
      </c>
      <c r="J16" s="20" t="s">
        <v>2</v>
      </c>
      <c r="K16" s="20" t="s">
        <v>2</v>
      </c>
      <c r="L16" s="20" t="s">
        <v>2</v>
      </c>
      <c r="M16" s="20" t="s">
        <v>2</v>
      </c>
      <c r="N16" s="20" t="s">
        <v>2</v>
      </c>
      <c r="O16" s="20" t="s">
        <v>2</v>
      </c>
      <c r="P16" s="20" t="s">
        <v>2</v>
      </c>
      <c r="Q16" s="20" t="s">
        <v>2</v>
      </c>
      <c r="R16" s="20" t="s">
        <v>2</v>
      </c>
      <c r="S16" s="20" t="s">
        <v>2</v>
      </c>
      <c r="T16" s="20" t="s">
        <v>2</v>
      </c>
      <c r="U16" s="20" t="s">
        <v>2</v>
      </c>
      <c r="V16" s="20" t="s">
        <v>2</v>
      </c>
      <c r="W16" s="20" t="s">
        <v>2</v>
      </c>
      <c r="X16" s="20" t="s">
        <v>2</v>
      </c>
      <c r="Y16" s="2"/>
      <c r="Z16" s="2"/>
      <c r="AA16" s="6">
        <f t="shared" ca="1" si="1"/>
        <v>2</v>
      </c>
      <c r="AB16" s="6">
        <f t="shared" ca="1" si="0"/>
        <v>5</v>
      </c>
      <c r="AC16" s="6">
        <f t="shared" ca="1" si="0"/>
        <v>9</v>
      </c>
      <c r="AD16" s="17"/>
      <c r="AE16" s="17"/>
      <c r="AF16" s="18"/>
      <c r="AG16" s="18"/>
      <c r="AH16" s="6"/>
      <c r="AI16" s="6"/>
      <c r="AJ16" s="6"/>
      <c r="AK16" s="10" t="s">
        <v>2</v>
      </c>
      <c r="AL16" s="5">
        <v>0</v>
      </c>
      <c r="AM16" s="11" t="s">
        <v>16</v>
      </c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</row>
    <row r="17" spans="1:50" x14ac:dyDescent="0.25">
      <c r="A17" s="6">
        <f>'Importar Dados'!A17</f>
        <v>1522787</v>
      </c>
      <c r="B17" s="6" t="str">
        <f>'Importar Dados'!B17</f>
        <v>André Felipe Gomes</v>
      </c>
      <c r="C17" s="6" t="str">
        <f>'Importar Dados'!C17</f>
        <v>andrefelipe.gomes@yahoo.com.br</v>
      </c>
      <c r="D17" s="6">
        <f t="shared" ca="1" si="2"/>
        <v>6</v>
      </c>
      <c r="E17" s="20" t="s">
        <v>2</v>
      </c>
      <c r="F17" s="20" t="s">
        <v>2</v>
      </c>
      <c r="G17" s="20" t="s">
        <v>2</v>
      </c>
      <c r="H17" s="20" t="s">
        <v>2</v>
      </c>
      <c r="I17" s="20" t="s">
        <v>2</v>
      </c>
      <c r="J17" s="20" t="s">
        <v>2</v>
      </c>
      <c r="K17" s="20" t="s">
        <v>2</v>
      </c>
      <c r="L17" s="20" t="s">
        <v>2</v>
      </c>
      <c r="M17" s="20" t="s">
        <v>2</v>
      </c>
      <c r="N17" s="20" t="s">
        <v>2</v>
      </c>
      <c r="O17" s="20" t="s">
        <v>2</v>
      </c>
      <c r="P17" s="20" t="s">
        <v>2</v>
      </c>
      <c r="Q17" s="20" t="s">
        <v>2</v>
      </c>
      <c r="R17" s="20" t="s">
        <v>2</v>
      </c>
      <c r="S17" s="20" t="s">
        <v>2</v>
      </c>
      <c r="T17" s="20" t="s">
        <v>2</v>
      </c>
      <c r="U17" s="20" t="s">
        <v>2</v>
      </c>
      <c r="V17" s="20" t="s">
        <v>2</v>
      </c>
      <c r="W17" s="20" t="s">
        <v>2</v>
      </c>
      <c r="X17" s="20" t="s">
        <v>2</v>
      </c>
      <c r="Y17" s="2"/>
      <c r="Z17" s="2"/>
      <c r="AA17" s="6">
        <f t="shared" ca="1" si="1"/>
        <v>8</v>
      </c>
      <c r="AB17" s="6">
        <f t="shared" ca="1" si="0"/>
        <v>1</v>
      </c>
      <c r="AC17" s="6">
        <f t="shared" ca="1" si="0"/>
        <v>9</v>
      </c>
      <c r="AD17" s="17"/>
      <c r="AE17" s="17"/>
      <c r="AF17" s="18"/>
      <c r="AG17" s="18"/>
      <c r="AH17" s="6"/>
      <c r="AI17" s="6"/>
      <c r="AJ17" s="6"/>
      <c r="AK17" s="10" t="s">
        <v>7</v>
      </c>
      <c r="AL17" s="5">
        <v>2</v>
      </c>
      <c r="AM17" s="11" t="s">
        <v>15</v>
      </c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</row>
    <row r="18" spans="1:50" x14ac:dyDescent="0.25">
      <c r="A18" s="6">
        <f>'Importar Dados'!A18</f>
        <v>1521292</v>
      </c>
      <c r="B18" s="6" t="str">
        <f>'Importar Dados'!B18</f>
        <v>Rafael Ferreira Santos</v>
      </c>
      <c r="C18" s="6" t="str">
        <f>'Importar Dados'!C18</f>
        <v>rafa.4up@gmail.com</v>
      </c>
      <c r="D18" s="6">
        <f t="shared" ca="1" si="2"/>
        <v>1</v>
      </c>
      <c r="E18" s="20" t="s">
        <v>2</v>
      </c>
      <c r="F18" s="20" t="s">
        <v>2</v>
      </c>
      <c r="G18" s="20" t="s">
        <v>2</v>
      </c>
      <c r="H18" s="20" t="s">
        <v>2</v>
      </c>
      <c r="I18" s="20" t="s">
        <v>2</v>
      </c>
      <c r="J18" s="20" t="s">
        <v>2</v>
      </c>
      <c r="K18" s="20" t="s">
        <v>2</v>
      </c>
      <c r="L18" s="20" t="s">
        <v>2</v>
      </c>
      <c r="M18" s="20" t="s">
        <v>2</v>
      </c>
      <c r="N18" s="20" t="s">
        <v>2</v>
      </c>
      <c r="O18" s="20" t="s">
        <v>2</v>
      </c>
      <c r="P18" s="20" t="s">
        <v>2</v>
      </c>
      <c r="Q18" s="20" t="s">
        <v>2</v>
      </c>
      <c r="R18" s="21" t="s">
        <v>2</v>
      </c>
      <c r="S18" s="20" t="s">
        <v>2</v>
      </c>
      <c r="T18" s="20" t="s">
        <v>2</v>
      </c>
      <c r="U18" s="20" t="s">
        <v>2</v>
      </c>
      <c r="V18" s="20" t="s">
        <v>2</v>
      </c>
      <c r="W18" s="20" t="s">
        <v>2</v>
      </c>
      <c r="X18" s="20" t="s">
        <v>2</v>
      </c>
      <c r="Y18" s="2"/>
      <c r="Z18" s="2"/>
      <c r="AA18" s="6">
        <f t="shared" ca="1" si="1"/>
        <v>2</v>
      </c>
      <c r="AB18" s="6">
        <f t="shared" ca="1" si="1"/>
        <v>5</v>
      </c>
      <c r="AC18" s="6">
        <f t="shared" ca="1" si="1"/>
        <v>3</v>
      </c>
      <c r="AD18" s="17"/>
      <c r="AE18" s="17"/>
      <c r="AF18" s="18"/>
      <c r="AG18" s="18"/>
      <c r="AH18" s="6"/>
      <c r="AI18" s="6"/>
      <c r="AJ18" s="6"/>
      <c r="AK18" s="10" t="s">
        <v>6</v>
      </c>
      <c r="AL18" s="5">
        <v>2</v>
      </c>
      <c r="AM18" s="11" t="s">
        <v>15</v>
      </c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</row>
    <row r="19" spans="1:50" x14ac:dyDescent="0.25">
      <c r="A19" s="6">
        <f>'Importar Dados'!A19</f>
        <v>1521374</v>
      </c>
      <c r="B19" s="6" t="str">
        <f>'Importar Dados'!B19</f>
        <v>Raphael dos Santos Esteves</v>
      </c>
      <c r="C19" s="6" t="str">
        <f>'Importar Dados'!C19</f>
        <v>raphael.santos.esteves@gmail.com</v>
      </c>
      <c r="D19" s="6">
        <f t="shared" ca="1" si="2"/>
        <v>7</v>
      </c>
      <c r="E19" s="20" t="s">
        <v>2</v>
      </c>
      <c r="F19" s="20" t="s">
        <v>2</v>
      </c>
      <c r="G19" s="20" t="s">
        <v>2</v>
      </c>
      <c r="H19" s="20" t="s">
        <v>2</v>
      </c>
      <c r="I19" s="20" t="s">
        <v>2</v>
      </c>
      <c r="J19" s="20" t="s">
        <v>2</v>
      </c>
      <c r="K19" s="20" t="s">
        <v>2</v>
      </c>
      <c r="L19" s="20" t="s">
        <v>2</v>
      </c>
      <c r="M19" s="20" t="s">
        <v>2</v>
      </c>
      <c r="N19" s="20" t="s">
        <v>2</v>
      </c>
      <c r="O19" s="20" t="s">
        <v>2</v>
      </c>
      <c r="P19" s="20" t="s">
        <v>2</v>
      </c>
      <c r="Q19" s="20" t="s">
        <v>2</v>
      </c>
      <c r="R19" s="20" t="s">
        <v>2</v>
      </c>
      <c r="S19" s="20" t="s">
        <v>2</v>
      </c>
      <c r="T19" s="20" t="s">
        <v>2</v>
      </c>
      <c r="U19" s="20" t="s">
        <v>2</v>
      </c>
      <c r="V19" s="20" t="s">
        <v>2</v>
      </c>
      <c r="W19" s="20" t="s">
        <v>2</v>
      </c>
      <c r="X19" s="20" t="s">
        <v>2</v>
      </c>
      <c r="Y19" s="2"/>
      <c r="Z19" s="2"/>
      <c r="AA19" s="6">
        <f t="shared" ca="1" si="1"/>
        <v>6</v>
      </c>
      <c r="AB19" s="6">
        <f t="shared" ca="1" si="1"/>
        <v>1</v>
      </c>
      <c r="AC19" s="6">
        <f t="shared" ca="1" si="1"/>
        <v>2</v>
      </c>
      <c r="AD19" s="17"/>
      <c r="AE19" s="17"/>
      <c r="AF19" s="18"/>
      <c r="AG19" s="18"/>
      <c r="AH19" s="6"/>
      <c r="AI19" s="6"/>
      <c r="AJ19" s="6"/>
      <c r="AK19" s="12" t="s">
        <v>3</v>
      </c>
      <c r="AL19" s="13">
        <v>4</v>
      </c>
      <c r="AM19" s="14" t="s">
        <v>14</v>
      </c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</row>
    <row r="20" spans="1:50" x14ac:dyDescent="0.25">
      <c r="A20" s="6">
        <f>'Importar Dados'!A20</f>
        <v>1522833</v>
      </c>
      <c r="B20" s="6" t="str">
        <f>'Importar Dados'!B20</f>
        <v>Diego Souza Silva</v>
      </c>
      <c r="C20" s="6" t="str">
        <f>'Importar Dados'!C20</f>
        <v>diego00023@gmail.com</v>
      </c>
      <c r="D20" s="6">
        <f t="shared" ca="1" si="2"/>
        <v>1</v>
      </c>
      <c r="E20" s="20" t="s">
        <v>2</v>
      </c>
      <c r="F20" s="20" t="s">
        <v>2</v>
      </c>
      <c r="G20" s="20" t="s">
        <v>2</v>
      </c>
      <c r="H20" s="20" t="s">
        <v>2</v>
      </c>
      <c r="I20" s="20" t="s">
        <v>2</v>
      </c>
      <c r="J20" s="20" t="s">
        <v>2</v>
      </c>
      <c r="K20" s="20" t="s">
        <v>2</v>
      </c>
      <c r="L20" s="20" t="s">
        <v>2</v>
      </c>
      <c r="M20" s="20" t="s">
        <v>2</v>
      </c>
      <c r="N20" s="20" t="s">
        <v>2</v>
      </c>
      <c r="O20" s="20" t="s">
        <v>2</v>
      </c>
      <c r="P20" s="20" t="s">
        <v>2</v>
      </c>
      <c r="Q20" s="20" t="s">
        <v>2</v>
      </c>
      <c r="R20" s="20" t="s">
        <v>2</v>
      </c>
      <c r="S20" s="20" t="s">
        <v>2</v>
      </c>
      <c r="T20" s="20" t="s">
        <v>2</v>
      </c>
      <c r="U20" s="20" t="s">
        <v>2</v>
      </c>
      <c r="V20" s="20" t="s">
        <v>2</v>
      </c>
      <c r="W20" s="20" t="s">
        <v>2</v>
      </c>
      <c r="X20" s="20" t="s">
        <v>2</v>
      </c>
      <c r="Y20" s="2"/>
      <c r="Z20" s="2"/>
      <c r="AA20" s="6">
        <f t="shared" ca="1" si="1"/>
        <v>10</v>
      </c>
      <c r="AB20" s="6">
        <f t="shared" ca="1" si="1"/>
        <v>4</v>
      </c>
      <c r="AC20" s="6">
        <f t="shared" ca="1" si="1"/>
        <v>9</v>
      </c>
      <c r="AD20" s="17"/>
      <c r="AE20" s="17"/>
      <c r="AF20" s="18"/>
      <c r="AG20" s="18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</row>
    <row r="21" spans="1:50" x14ac:dyDescent="0.25">
      <c r="A21" s="6">
        <f>'Importar Dados'!A21</f>
        <v>1522825</v>
      </c>
      <c r="B21" s="6" t="str">
        <f>'Importar Dados'!B21</f>
        <v>Luiz Gustavo Duarte Ramos</v>
      </c>
      <c r="C21" s="6" t="str">
        <f>'Importar Dados'!C21</f>
        <v>luizgdramos@gmail.com</v>
      </c>
      <c r="D21" s="6">
        <f t="shared" ca="1" si="2"/>
        <v>5</v>
      </c>
      <c r="E21" s="20" t="s">
        <v>2</v>
      </c>
      <c r="F21" s="20" t="s">
        <v>2</v>
      </c>
      <c r="G21" s="20" t="s">
        <v>2</v>
      </c>
      <c r="H21" s="20" t="s">
        <v>2</v>
      </c>
      <c r="I21" s="20" t="s">
        <v>2</v>
      </c>
      <c r="J21" s="20" t="s">
        <v>2</v>
      </c>
      <c r="K21" s="20" t="s">
        <v>2</v>
      </c>
      <c r="L21" s="20" t="s">
        <v>2</v>
      </c>
      <c r="M21" s="20" t="s">
        <v>2</v>
      </c>
      <c r="N21" s="20" t="s">
        <v>2</v>
      </c>
      <c r="O21" s="20" t="s">
        <v>2</v>
      </c>
      <c r="P21" s="20" t="s">
        <v>2</v>
      </c>
      <c r="Q21" s="20" t="s">
        <v>2</v>
      </c>
      <c r="R21" s="20" t="s">
        <v>2</v>
      </c>
      <c r="S21" s="20" t="s">
        <v>2</v>
      </c>
      <c r="T21" s="20" t="s">
        <v>2</v>
      </c>
      <c r="U21" s="20" t="s">
        <v>2</v>
      </c>
      <c r="V21" s="20" t="s">
        <v>2</v>
      </c>
      <c r="W21" s="20" t="s">
        <v>2</v>
      </c>
      <c r="X21" s="20" t="s">
        <v>2</v>
      </c>
      <c r="Y21" s="2"/>
      <c r="Z21" s="2"/>
      <c r="AA21" s="6">
        <f t="shared" ca="1" si="1"/>
        <v>6</v>
      </c>
      <c r="AB21" s="6">
        <f t="shared" ca="1" si="1"/>
        <v>2</v>
      </c>
      <c r="AC21" s="6">
        <f t="shared" ca="1" si="1"/>
        <v>7</v>
      </c>
      <c r="AD21" s="17"/>
      <c r="AE21" s="17"/>
      <c r="AF21" s="18"/>
      <c r="AG21" s="18"/>
      <c r="AH21" s="2" t="s">
        <v>21</v>
      </c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</row>
    <row r="22" spans="1:50" x14ac:dyDescent="0.25">
      <c r="A22" s="6">
        <f>'Importar Dados'!A22</f>
        <v>3333333</v>
      </c>
      <c r="B22" s="6" t="str">
        <f>'Importar Dados'!B22</f>
        <v>André de O. Carvalho</v>
      </c>
      <c r="C22" s="6" t="str">
        <f>'Importar Dados'!C22</f>
        <v>andrecarvalho85@outlook.com</v>
      </c>
      <c r="D22" s="6">
        <f t="shared" ca="1" si="2"/>
        <v>3</v>
      </c>
      <c r="E22" s="20" t="s">
        <v>2</v>
      </c>
      <c r="F22" s="20" t="s">
        <v>2</v>
      </c>
      <c r="G22" s="20" t="s">
        <v>2</v>
      </c>
      <c r="H22" s="20" t="s">
        <v>2</v>
      </c>
      <c r="I22" s="20" t="s">
        <v>2</v>
      </c>
      <c r="J22" s="20" t="s">
        <v>2</v>
      </c>
      <c r="K22" s="20" t="s">
        <v>2</v>
      </c>
      <c r="L22" s="20" t="s">
        <v>2</v>
      </c>
      <c r="M22" s="20" t="s">
        <v>2</v>
      </c>
      <c r="N22" s="20" t="s">
        <v>2</v>
      </c>
      <c r="O22" s="20" t="s">
        <v>2</v>
      </c>
      <c r="P22" s="20" t="s">
        <v>2</v>
      </c>
      <c r="Q22" s="20" t="s">
        <v>2</v>
      </c>
      <c r="R22" s="20" t="s">
        <v>2</v>
      </c>
      <c r="S22" s="20" t="s">
        <v>2</v>
      </c>
      <c r="T22" s="20" t="s">
        <v>2</v>
      </c>
      <c r="U22" s="20" t="s">
        <v>2</v>
      </c>
      <c r="V22" s="20" t="s">
        <v>2</v>
      </c>
      <c r="W22" s="20" t="s">
        <v>2</v>
      </c>
      <c r="X22" s="20" t="s">
        <v>2</v>
      </c>
      <c r="Y22" s="2"/>
      <c r="Z22" s="2"/>
      <c r="AA22" s="6">
        <f t="shared" ca="1" si="1"/>
        <v>8</v>
      </c>
      <c r="AB22" s="6">
        <f t="shared" ca="1" si="1"/>
        <v>1</v>
      </c>
      <c r="AC22" s="6">
        <f t="shared" ca="1" si="1"/>
        <v>10</v>
      </c>
      <c r="AD22" s="17"/>
      <c r="AE22" s="17"/>
      <c r="AF22" s="18"/>
      <c r="AG22" s="18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</row>
    <row r="23" spans="1:50" x14ac:dyDescent="0.25">
      <c r="A23" s="6">
        <f>'Importar Dados'!A23</f>
        <v>4444444</v>
      </c>
      <c r="B23" s="6" t="str">
        <f>'Importar Dados'!B23</f>
        <v>Cristina C. de Sousa Madeiro</v>
      </c>
      <c r="C23" s="6" t="str">
        <f>'Importar Dados'!C23</f>
        <v>cristina_madeiro@hotmail.com</v>
      </c>
      <c r="D23" s="6">
        <f t="shared" ca="1" si="2"/>
        <v>2</v>
      </c>
      <c r="E23" s="20" t="s">
        <v>2</v>
      </c>
      <c r="F23" s="20" t="s">
        <v>2</v>
      </c>
      <c r="G23" s="20" t="s">
        <v>2</v>
      </c>
      <c r="H23" s="20" t="s">
        <v>2</v>
      </c>
      <c r="I23" s="20" t="s">
        <v>2</v>
      </c>
      <c r="J23" s="20" t="s">
        <v>2</v>
      </c>
      <c r="K23" s="20" t="s">
        <v>2</v>
      </c>
      <c r="L23" s="20" t="s">
        <v>2</v>
      </c>
      <c r="M23" s="20" t="s">
        <v>2</v>
      </c>
      <c r="N23" s="20" t="s">
        <v>2</v>
      </c>
      <c r="O23" s="20" t="s">
        <v>2</v>
      </c>
      <c r="P23" s="20" t="s">
        <v>2</v>
      </c>
      <c r="Q23" s="20" t="s">
        <v>2</v>
      </c>
      <c r="R23" s="20" t="s">
        <v>2</v>
      </c>
      <c r="S23" s="20" t="s">
        <v>2</v>
      </c>
      <c r="T23" s="20" t="s">
        <v>2</v>
      </c>
      <c r="U23" s="20" t="s">
        <v>2</v>
      </c>
      <c r="V23" s="20" t="s">
        <v>2</v>
      </c>
      <c r="W23" s="20" t="s">
        <v>2</v>
      </c>
      <c r="X23" s="20" t="s">
        <v>2</v>
      </c>
      <c r="Y23" s="2"/>
      <c r="Z23" s="2"/>
      <c r="AA23" s="6">
        <f t="shared" ca="1" si="1"/>
        <v>6</v>
      </c>
      <c r="AB23" s="6">
        <f t="shared" ca="1" si="1"/>
        <v>8</v>
      </c>
      <c r="AC23" s="6">
        <f t="shared" ca="1" si="1"/>
        <v>5</v>
      </c>
      <c r="AD23" s="17"/>
      <c r="AE23" s="17"/>
      <c r="AF23" s="18"/>
      <c r="AG23" s="18"/>
      <c r="AH23" s="6"/>
      <c r="AI23" s="2" t="s">
        <v>22</v>
      </c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</row>
    <row r="24" spans="1:50" ht="13" x14ac:dyDescent="0.3">
      <c r="A24" s="6">
        <f>'Importar Dados'!A24</f>
        <v>1521241</v>
      </c>
      <c r="B24" s="6" t="str">
        <f>'Importar Dados'!B24</f>
        <v>Maxwell Ledogírio P. da Silva</v>
      </c>
      <c r="C24" s="6" t="str">
        <f>'Importar Dados'!C24</f>
        <v>maxwell.silva9@etec.sp.gov.br</v>
      </c>
      <c r="D24" s="6">
        <f t="shared" ca="1" si="2"/>
        <v>2</v>
      </c>
      <c r="E24" s="20" t="s">
        <v>2</v>
      </c>
      <c r="F24" s="20" t="s">
        <v>2</v>
      </c>
      <c r="G24" s="20" t="s">
        <v>2</v>
      </c>
      <c r="H24" s="20" t="s">
        <v>2</v>
      </c>
      <c r="I24" s="20" t="s">
        <v>2</v>
      </c>
      <c r="J24" s="20" t="s">
        <v>2</v>
      </c>
      <c r="K24" s="20" t="s">
        <v>2</v>
      </c>
      <c r="L24" s="20" t="s">
        <v>2</v>
      </c>
      <c r="M24" s="20" t="s">
        <v>2</v>
      </c>
      <c r="N24" s="20" t="s">
        <v>2</v>
      </c>
      <c r="O24" s="20" t="s">
        <v>2</v>
      </c>
      <c r="P24" s="20" t="s">
        <v>2</v>
      </c>
      <c r="Q24" s="20" t="s">
        <v>2</v>
      </c>
      <c r="R24" s="20" t="s">
        <v>2</v>
      </c>
      <c r="S24" s="20" t="s">
        <v>2</v>
      </c>
      <c r="T24" s="20" t="s">
        <v>2</v>
      </c>
      <c r="U24" s="20" t="s">
        <v>2</v>
      </c>
      <c r="V24" s="20" t="s">
        <v>2</v>
      </c>
      <c r="W24" s="20" t="s">
        <v>2</v>
      </c>
      <c r="X24" s="20" t="s">
        <v>2</v>
      </c>
      <c r="Y24" s="2"/>
      <c r="Z24" s="2"/>
      <c r="AA24" s="6">
        <f t="shared" ca="1" si="1"/>
        <v>9</v>
      </c>
      <c r="AB24" s="6">
        <f t="shared" ca="1" si="1"/>
        <v>6</v>
      </c>
      <c r="AC24" s="6">
        <f t="shared" ca="1" si="1"/>
        <v>4</v>
      </c>
      <c r="AD24" s="17"/>
      <c r="AE24" s="17"/>
      <c r="AF24" s="18"/>
      <c r="AG24" s="18"/>
      <c r="AH24" s="1"/>
      <c r="AI24" s="2" t="s">
        <v>23</v>
      </c>
      <c r="AJ24" s="3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</row>
    <row r="25" spans="1:50" x14ac:dyDescent="0.25">
      <c r="A25" s="6">
        <f>'Importar Dados'!A25</f>
        <v>5555555</v>
      </c>
      <c r="B25" s="6" t="str">
        <f>'Importar Dados'!B25</f>
        <v>Clayton Silva de Assis</v>
      </c>
      <c r="C25" s="6" t="str">
        <f>'Importar Dados'!C25</f>
        <v>clay.assis@gmail.com</v>
      </c>
      <c r="D25" s="6">
        <f t="shared" ca="1" si="2"/>
        <v>6</v>
      </c>
      <c r="E25" s="20" t="s">
        <v>2</v>
      </c>
      <c r="F25" s="20" t="s">
        <v>2</v>
      </c>
      <c r="G25" s="20" t="s">
        <v>2</v>
      </c>
      <c r="H25" s="20" t="s">
        <v>2</v>
      </c>
      <c r="I25" s="20" t="s">
        <v>2</v>
      </c>
      <c r="J25" s="20" t="s">
        <v>2</v>
      </c>
      <c r="K25" s="20" t="s">
        <v>2</v>
      </c>
      <c r="L25" s="20" t="s">
        <v>2</v>
      </c>
      <c r="M25" s="20" t="s">
        <v>2</v>
      </c>
      <c r="N25" s="20" t="s">
        <v>2</v>
      </c>
      <c r="O25" s="20" t="s">
        <v>2</v>
      </c>
      <c r="P25" s="20" t="s">
        <v>2</v>
      </c>
      <c r="Q25" s="20" t="s">
        <v>2</v>
      </c>
      <c r="R25" s="20" t="s">
        <v>2</v>
      </c>
      <c r="S25" s="20" t="s">
        <v>2</v>
      </c>
      <c r="T25" s="20" t="s">
        <v>2</v>
      </c>
      <c r="U25" s="20" t="s">
        <v>2</v>
      </c>
      <c r="V25" s="20" t="s">
        <v>2</v>
      </c>
      <c r="W25" s="20" t="s">
        <v>2</v>
      </c>
      <c r="X25" s="20" t="s">
        <v>2</v>
      </c>
      <c r="Y25" s="2"/>
      <c r="Z25" s="2"/>
      <c r="AA25" s="6">
        <f t="shared" ca="1" si="1"/>
        <v>1</v>
      </c>
      <c r="AB25" s="6">
        <f t="shared" ca="1" si="1"/>
        <v>6</v>
      </c>
      <c r="AC25" s="6">
        <f t="shared" ca="1" si="1"/>
        <v>2</v>
      </c>
      <c r="AD25" s="17"/>
      <c r="AE25" s="17"/>
      <c r="AF25" s="18"/>
      <c r="AG25" s="18"/>
      <c r="AH25" s="6"/>
      <c r="AI25" s="2" t="s">
        <v>24</v>
      </c>
      <c r="AJ25" s="3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</row>
    <row r="26" spans="1:50" ht="13" x14ac:dyDescent="0.3">
      <c r="A26" s="6">
        <f>'Importar Dados'!A26</f>
        <v>1521225</v>
      </c>
      <c r="B26" s="6" t="str">
        <f>'Importar Dados'!B26</f>
        <v>Vinicius M. R. F. Soares</v>
      </c>
      <c r="C26" s="6" t="str">
        <f>'Importar Dados'!C26</f>
        <v xml:space="preserve"> vmigueels@gmail.com</v>
      </c>
      <c r="D26" s="6">
        <f t="shared" ca="1" si="2"/>
        <v>2</v>
      </c>
      <c r="E26" s="20" t="s">
        <v>2</v>
      </c>
      <c r="F26" s="20" t="s">
        <v>2</v>
      </c>
      <c r="G26" s="20" t="s">
        <v>2</v>
      </c>
      <c r="H26" s="20" t="s">
        <v>2</v>
      </c>
      <c r="I26" s="20" t="s">
        <v>2</v>
      </c>
      <c r="J26" s="20" t="s">
        <v>2</v>
      </c>
      <c r="K26" s="20" t="s">
        <v>2</v>
      </c>
      <c r="L26" s="20" t="s">
        <v>2</v>
      </c>
      <c r="M26" s="20" t="s">
        <v>2</v>
      </c>
      <c r="N26" s="20" t="s">
        <v>2</v>
      </c>
      <c r="O26" s="20" t="s">
        <v>2</v>
      </c>
      <c r="P26" s="20" t="s">
        <v>2</v>
      </c>
      <c r="Q26" s="20" t="s">
        <v>2</v>
      </c>
      <c r="R26" s="20" t="s">
        <v>2</v>
      </c>
      <c r="S26" s="20" t="s">
        <v>2</v>
      </c>
      <c r="T26" s="20" t="s">
        <v>2</v>
      </c>
      <c r="U26" s="20" t="s">
        <v>2</v>
      </c>
      <c r="V26" s="20" t="s">
        <v>2</v>
      </c>
      <c r="W26" s="20" t="s">
        <v>2</v>
      </c>
      <c r="X26" s="20" t="s">
        <v>2</v>
      </c>
      <c r="Y26" s="2"/>
      <c r="Z26" s="2"/>
      <c r="AA26" s="6">
        <f t="shared" ca="1" si="1"/>
        <v>6</v>
      </c>
      <c r="AB26" s="6">
        <f t="shared" ca="1" si="1"/>
        <v>2</v>
      </c>
      <c r="AC26" s="6">
        <f t="shared" ca="1" si="1"/>
        <v>5</v>
      </c>
      <c r="AD26" s="17"/>
      <c r="AE26" s="17"/>
      <c r="AF26" s="18"/>
      <c r="AG26" s="18"/>
      <c r="AH26" s="2"/>
      <c r="AI26" s="2" t="s">
        <v>25</v>
      </c>
      <c r="AJ26" s="3"/>
      <c r="AK26" s="6"/>
      <c r="AL26" s="6"/>
      <c r="AM26" s="6"/>
      <c r="AN26" s="6"/>
      <c r="AO26" s="4"/>
      <c r="AP26" s="6"/>
      <c r="AQ26" s="6"/>
      <c r="AR26" s="6"/>
      <c r="AS26" s="6"/>
      <c r="AT26" s="6"/>
      <c r="AU26" s="6"/>
      <c r="AV26" s="6"/>
      <c r="AW26" s="6"/>
      <c r="AX26" s="6"/>
    </row>
    <row r="27" spans="1:50" x14ac:dyDescent="0.25">
      <c r="A27" s="6">
        <f>'Importar Dados'!A27</f>
        <v>6666666</v>
      </c>
      <c r="B27" s="6" t="str">
        <f>'Importar Dados'!B27</f>
        <v>Alessandro Duarte Jr</v>
      </c>
      <c r="C27" s="6" t="str">
        <f>'Importar Dados'!C27</f>
        <v>alessandro_jump@hotmail.com</v>
      </c>
      <c r="D27" s="6">
        <f t="shared" ca="1" si="2"/>
        <v>3</v>
      </c>
      <c r="E27" s="20" t="s">
        <v>2</v>
      </c>
      <c r="F27" s="20" t="s">
        <v>2</v>
      </c>
      <c r="G27" s="20" t="s">
        <v>2</v>
      </c>
      <c r="H27" s="20" t="s">
        <v>2</v>
      </c>
      <c r="I27" s="20" t="s">
        <v>2</v>
      </c>
      <c r="J27" s="20" t="s">
        <v>2</v>
      </c>
      <c r="K27" s="20" t="s">
        <v>2</v>
      </c>
      <c r="L27" s="20" t="s">
        <v>2</v>
      </c>
      <c r="M27" s="20" t="s">
        <v>2</v>
      </c>
      <c r="N27" s="20" t="s">
        <v>2</v>
      </c>
      <c r="O27" s="20" t="s">
        <v>2</v>
      </c>
      <c r="P27" s="20" t="s">
        <v>2</v>
      </c>
      <c r="Q27" s="20" t="s">
        <v>2</v>
      </c>
      <c r="R27" s="20" t="s">
        <v>2</v>
      </c>
      <c r="S27" s="20" t="s">
        <v>2</v>
      </c>
      <c r="T27" s="20" t="s">
        <v>2</v>
      </c>
      <c r="U27" s="20" t="s">
        <v>2</v>
      </c>
      <c r="V27" s="20" t="s">
        <v>2</v>
      </c>
      <c r="W27" s="20" t="s">
        <v>2</v>
      </c>
      <c r="X27" s="20" t="s">
        <v>2</v>
      </c>
      <c r="Y27" s="2"/>
      <c r="Z27" s="2"/>
      <c r="AA27" s="6">
        <f t="shared" ca="1" si="1"/>
        <v>7</v>
      </c>
      <c r="AB27" s="6">
        <f t="shared" ca="1" si="1"/>
        <v>4</v>
      </c>
      <c r="AC27" s="6">
        <f t="shared" ca="1" si="1"/>
        <v>8</v>
      </c>
      <c r="AD27" s="17"/>
      <c r="AE27" s="17"/>
      <c r="AF27" s="18"/>
      <c r="AG27" s="18"/>
      <c r="AH27" s="2"/>
      <c r="AI27" s="2" t="s">
        <v>26</v>
      </c>
      <c r="AJ27" s="3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</row>
    <row r="28" spans="1:50" x14ac:dyDescent="0.25">
      <c r="A28" s="6">
        <f>'Importar Dados'!A28</f>
        <v>1522851</v>
      </c>
      <c r="B28" s="6" t="str">
        <f>'Importar Dados'!B28</f>
        <v>Gustavo Henrique de Freitas</v>
      </c>
      <c r="C28" s="6" t="str">
        <f>'Importar Dados'!C28</f>
        <v>guhenrique0812@gmail.com</v>
      </c>
      <c r="D28" s="6">
        <f t="shared" ca="1" si="2"/>
        <v>6</v>
      </c>
      <c r="E28" s="20" t="s">
        <v>2</v>
      </c>
      <c r="F28" s="20" t="s">
        <v>2</v>
      </c>
      <c r="G28" s="20" t="s">
        <v>2</v>
      </c>
      <c r="H28" s="20" t="s">
        <v>2</v>
      </c>
      <c r="I28" s="20" t="s">
        <v>2</v>
      </c>
      <c r="J28" s="20" t="s">
        <v>2</v>
      </c>
      <c r="K28" s="20" t="s">
        <v>2</v>
      </c>
      <c r="L28" s="20" t="s">
        <v>2</v>
      </c>
      <c r="M28" s="20" t="s">
        <v>2</v>
      </c>
      <c r="N28" s="20" t="s">
        <v>2</v>
      </c>
      <c r="O28" s="20" t="s">
        <v>2</v>
      </c>
      <c r="P28" s="20" t="s">
        <v>2</v>
      </c>
      <c r="Q28" s="20" t="s">
        <v>2</v>
      </c>
      <c r="R28" s="20" t="s">
        <v>2</v>
      </c>
      <c r="S28" s="20" t="s">
        <v>2</v>
      </c>
      <c r="T28" s="20" t="s">
        <v>2</v>
      </c>
      <c r="U28" s="20" t="s">
        <v>2</v>
      </c>
      <c r="V28" s="20" t="s">
        <v>2</v>
      </c>
      <c r="W28" s="20" t="s">
        <v>2</v>
      </c>
      <c r="X28" s="20" t="s">
        <v>2</v>
      </c>
      <c r="Y28" s="2"/>
      <c r="Z28" s="2"/>
      <c r="AA28" s="6">
        <f t="shared" ca="1" si="1"/>
        <v>6</v>
      </c>
      <c r="AB28" s="6">
        <f t="shared" ca="1" si="1"/>
        <v>3</v>
      </c>
      <c r="AC28" s="6">
        <f t="shared" ca="1" si="1"/>
        <v>9</v>
      </c>
      <c r="AD28" s="17"/>
      <c r="AE28" s="17"/>
      <c r="AF28" s="18"/>
      <c r="AG28" s="18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</row>
    <row r="29" spans="1:50" x14ac:dyDescent="0.25">
      <c r="A29" s="6">
        <f>'Importar Dados'!A29</f>
        <v>7777777</v>
      </c>
      <c r="B29" s="6" t="str">
        <f>'Importar Dados'!B29</f>
        <v>Felipe Araujo Soares</v>
      </c>
      <c r="C29" s="6" t="str">
        <f>'Importar Dados'!C29</f>
        <v>felipesoares314@hotmail.com</v>
      </c>
      <c r="D29" s="6">
        <f t="shared" ca="1" si="2"/>
        <v>4</v>
      </c>
      <c r="E29" s="20" t="s">
        <v>2</v>
      </c>
      <c r="F29" s="20" t="s">
        <v>2</v>
      </c>
      <c r="G29" s="20" t="s">
        <v>2</v>
      </c>
      <c r="H29" s="20" t="s">
        <v>2</v>
      </c>
      <c r="I29" s="20" t="s">
        <v>2</v>
      </c>
      <c r="J29" s="20" t="s">
        <v>2</v>
      </c>
      <c r="K29" s="20" t="s">
        <v>2</v>
      </c>
      <c r="L29" s="20" t="s">
        <v>2</v>
      </c>
      <c r="M29" s="20" t="s">
        <v>2</v>
      </c>
      <c r="N29" s="20" t="s">
        <v>2</v>
      </c>
      <c r="O29" s="20" t="s">
        <v>2</v>
      </c>
      <c r="P29" s="20" t="s">
        <v>2</v>
      </c>
      <c r="Q29" s="20" t="s">
        <v>2</v>
      </c>
      <c r="R29" s="20" t="s">
        <v>2</v>
      </c>
      <c r="S29" s="20" t="s">
        <v>2</v>
      </c>
      <c r="T29" s="20" t="s">
        <v>2</v>
      </c>
      <c r="U29" s="20" t="s">
        <v>2</v>
      </c>
      <c r="V29" s="20" t="s">
        <v>2</v>
      </c>
      <c r="W29" s="20" t="s">
        <v>2</v>
      </c>
      <c r="X29" s="20" t="s">
        <v>2</v>
      </c>
      <c r="Y29" s="2"/>
      <c r="Z29" s="2"/>
      <c r="AA29" s="6">
        <f t="shared" ca="1" si="1"/>
        <v>7</v>
      </c>
      <c r="AB29" s="6">
        <f t="shared" ca="1" si="1"/>
        <v>5</v>
      </c>
      <c r="AC29" s="6">
        <f t="shared" ca="1" si="1"/>
        <v>1</v>
      </c>
      <c r="AD29" s="17"/>
      <c r="AE29" s="17"/>
      <c r="AF29" s="18"/>
      <c r="AG29" s="18"/>
      <c r="AH29" s="2" t="s">
        <v>27</v>
      </c>
      <c r="AI29" s="6"/>
      <c r="AJ29" s="6"/>
      <c r="AK29" s="6"/>
      <c r="AL29" s="6"/>
      <c r="AM29" s="6"/>
      <c r="AN29" s="2"/>
      <c r="AO29" s="6"/>
      <c r="AP29" s="6"/>
      <c r="AQ29" s="6"/>
      <c r="AR29" s="6"/>
      <c r="AS29" s="6"/>
      <c r="AT29" s="6"/>
      <c r="AU29" s="6"/>
      <c r="AV29" s="6"/>
      <c r="AW29" s="6"/>
      <c r="AX29" s="6"/>
    </row>
    <row r="30" spans="1:50" x14ac:dyDescent="0.25">
      <c r="A30" s="6">
        <f>'Importar Dados'!A30</f>
        <v>8888888</v>
      </c>
      <c r="B30" s="6" t="str">
        <f>'Importar Dados'!B30</f>
        <v>Marcello Ygor S. da Silva</v>
      </c>
      <c r="C30" s="6" t="str">
        <f>'Importar Dados'!C30</f>
        <v>marcelloygor@hotmail.com</v>
      </c>
      <c r="D30" s="6">
        <f t="shared" ca="1" si="2"/>
        <v>7</v>
      </c>
      <c r="E30" s="20" t="s">
        <v>2</v>
      </c>
      <c r="F30" s="20" t="s">
        <v>2</v>
      </c>
      <c r="G30" s="20" t="s">
        <v>2</v>
      </c>
      <c r="H30" s="20" t="s">
        <v>2</v>
      </c>
      <c r="I30" s="20" t="s">
        <v>2</v>
      </c>
      <c r="J30" s="20" t="s">
        <v>2</v>
      </c>
      <c r="K30" s="20" t="s">
        <v>2</v>
      </c>
      <c r="L30" s="20" t="s">
        <v>2</v>
      </c>
      <c r="M30" s="20" t="s">
        <v>2</v>
      </c>
      <c r="N30" s="20" t="s">
        <v>2</v>
      </c>
      <c r="O30" s="20" t="s">
        <v>2</v>
      </c>
      <c r="P30" s="20" t="s">
        <v>2</v>
      </c>
      <c r="Q30" s="20" t="s">
        <v>2</v>
      </c>
      <c r="R30" s="20" t="s">
        <v>2</v>
      </c>
      <c r="S30" s="20" t="s">
        <v>2</v>
      </c>
      <c r="T30" s="20" t="s">
        <v>2</v>
      </c>
      <c r="U30" s="20" t="s">
        <v>2</v>
      </c>
      <c r="V30" s="20" t="s">
        <v>2</v>
      </c>
      <c r="W30" s="20" t="s">
        <v>2</v>
      </c>
      <c r="X30" s="20" t="s">
        <v>2</v>
      </c>
      <c r="Y30" s="2"/>
      <c r="Z30" s="2"/>
      <c r="AA30" s="6">
        <f t="shared" ca="1" si="1"/>
        <v>6</v>
      </c>
      <c r="AB30" s="6">
        <f t="shared" ca="1" si="1"/>
        <v>1</v>
      </c>
      <c r="AC30" s="6">
        <f t="shared" ca="1" si="1"/>
        <v>2</v>
      </c>
      <c r="AD30" s="17"/>
      <c r="AE30" s="17"/>
      <c r="AF30" s="18"/>
      <c r="AG30" s="18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</row>
    <row r="31" spans="1:50" x14ac:dyDescent="0.25">
      <c r="A31" s="6">
        <f>'Importar Dados'!A31</f>
        <v>1522809</v>
      </c>
      <c r="B31" s="6" t="str">
        <f>'Importar Dados'!B31</f>
        <v>Lucas Simões Magalhães</v>
      </c>
      <c r="C31" s="6" t="str">
        <f>'Importar Dados'!C31</f>
        <v>lucasimoes014@hotmail.com</v>
      </c>
      <c r="D31" s="6">
        <f t="shared" ca="1" si="2"/>
        <v>4</v>
      </c>
      <c r="E31" s="20" t="s">
        <v>2</v>
      </c>
      <c r="F31" s="20" t="s">
        <v>2</v>
      </c>
      <c r="G31" s="20" t="s">
        <v>2</v>
      </c>
      <c r="H31" s="20" t="s">
        <v>2</v>
      </c>
      <c r="I31" s="20" t="s">
        <v>2</v>
      </c>
      <c r="J31" s="20" t="s">
        <v>2</v>
      </c>
      <c r="K31" s="20" t="s">
        <v>2</v>
      </c>
      <c r="L31" s="20" t="s">
        <v>2</v>
      </c>
      <c r="M31" s="20" t="s">
        <v>2</v>
      </c>
      <c r="N31" s="20" t="s">
        <v>2</v>
      </c>
      <c r="O31" s="20" t="s">
        <v>2</v>
      </c>
      <c r="P31" s="20" t="s">
        <v>2</v>
      </c>
      <c r="Q31" s="20" t="s">
        <v>2</v>
      </c>
      <c r="R31" s="20" t="s">
        <v>2</v>
      </c>
      <c r="S31" s="20" t="s">
        <v>2</v>
      </c>
      <c r="T31" s="20" t="s">
        <v>2</v>
      </c>
      <c r="U31" s="20" t="s">
        <v>2</v>
      </c>
      <c r="V31" s="20" t="s">
        <v>2</v>
      </c>
      <c r="W31" s="20" t="s">
        <v>2</v>
      </c>
      <c r="X31" s="20" t="s">
        <v>2</v>
      </c>
      <c r="Y31" s="2"/>
      <c r="Z31" s="2"/>
      <c r="AA31" s="6">
        <f t="shared" ca="1" si="1"/>
        <v>9</v>
      </c>
      <c r="AB31" s="6">
        <f t="shared" ca="1" si="1"/>
        <v>8</v>
      </c>
      <c r="AC31" s="6">
        <f t="shared" ca="1" si="1"/>
        <v>3</v>
      </c>
      <c r="AD31" s="17"/>
      <c r="AE31" s="17"/>
      <c r="AF31" s="18"/>
      <c r="AG31" s="18"/>
      <c r="AH31" s="2" t="s">
        <v>28</v>
      </c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</row>
    <row r="32" spans="1:50" x14ac:dyDescent="0.25">
      <c r="A32" s="6">
        <f>'Importar Dados'!A32</f>
        <v>1521276</v>
      </c>
      <c r="B32" s="6" t="str">
        <f>'Importar Dados'!B32</f>
        <v>Victor Henrique C. A. de Souza</v>
      </c>
      <c r="C32" s="6" t="str">
        <f>'Importar Dados'!C32</f>
        <v>victorcondello@gmail.com</v>
      </c>
      <c r="D32" s="6">
        <f t="shared" ca="1" si="2"/>
        <v>4</v>
      </c>
      <c r="E32" s="20" t="s">
        <v>2</v>
      </c>
      <c r="F32" s="20" t="s">
        <v>2</v>
      </c>
      <c r="G32" s="20" t="s">
        <v>2</v>
      </c>
      <c r="H32" s="20" t="s">
        <v>2</v>
      </c>
      <c r="I32" s="20" t="s">
        <v>2</v>
      </c>
      <c r="J32" s="20" t="s">
        <v>2</v>
      </c>
      <c r="K32" s="20" t="s">
        <v>2</v>
      </c>
      <c r="L32" s="20" t="s">
        <v>2</v>
      </c>
      <c r="M32" s="20" t="s">
        <v>2</v>
      </c>
      <c r="N32" s="20" t="s">
        <v>2</v>
      </c>
      <c r="O32" s="20" t="s">
        <v>2</v>
      </c>
      <c r="P32" s="20" t="s">
        <v>2</v>
      </c>
      <c r="Q32" s="20" t="s">
        <v>2</v>
      </c>
      <c r="R32" s="20" t="s">
        <v>2</v>
      </c>
      <c r="S32" s="20" t="s">
        <v>2</v>
      </c>
      <c r="T32" s="20" t="s">
        <v>2</v>
      </c>
      <c r="U32" s="20" t="s">
        <v>2</v>
      </c>
      <c r="V32" s="20" t="s">
        <v>2</v>
      </c>
      <c r="W32" s="20" t="s">
        <v>2</v>
      </c>
      <c r="X32" s="20" t="s">
        <v>2</v>
      </c>
      <c r="Y32" s="2"/>
      <c r="Z32" s="2"/>
      <c r="AA32" s="6">
        <f t="shared" ca="1" si="1"/>
        <v>7</v>
      </c>
      <c r="AB32" s="6">
        <f t="shared" ca="1" si="1"/>
        <v>10</v>
      </c>
      <c r="AC32" s="6">
        <f t="shared" ca="1" si="1"/>
        <v>10</v>
      </c>
      <c r="AD32" s="17"/>
      <c r="AE32" s="17"/>
      <c r="AF32" s="18"/>
      <c r="AG32" s="18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</row>
    <row r="33" spans="1:50" x14ac:dyDescent="0.25">
      <c r="A33" s="6">
        <f>'Importar Dados'!A33</f>
        <v>1522957</v>
      </c>
      <c r="B33" s="6" t="str">
        <f>'Importar Dados'!B33</f>
        <v>Wesley do Nascimento Adão</v>
      </c>
      <c r="C33" s="6" t="str">
        <f>'Importar Dados'!C33</f>
        <v>wesleyadao88@hotmail.com</v>
      </c>
      <c r="D33" s="6">
        <f t="shared" ca="1" si="2"/>
        <v>7</v>
      </c>
      <c r="E33" s="20" t="s">
        <v>2</v>
      </c>
      <c r="F33" s="20" t="s">
        <v>2</v>
      </c>
      <c r="G33" s="20" t="s">
        <v>2</v>
      </c>
      <c r="H33" s="20" t="s">
        <v>2</v>
      </c>
      <c r="I33" s="20" t="s">
        <v>2</v>
      </c>
      <c r="J33" s="20" t="s">
        <v>2</v>
      </c>
      <c r="K33" s="20" t="s">
        <v>2</v>
      </c>
      <c r="L33" s="20" t="s">
        <v>2</v>
      </c>
      <c r="M33" s="20" t="s">
        <v>2</v>
      </c>
      <c r="N33" s="20" t="s">
        <v>2</v>
      </c>
      <c r="O33" s="20" t="s">
        <v>2</v>
      </c>
      <c r="P33" s="20" t="s">
        <v>2</v>
      </c>
      <c r="Q33" s="20" t="s">
        <v>2</v>
      </c>
      <c r="R33" s="20" t="s">
        <v>2</v>
      </c>
      <c r="S33" s="20" t="s">
        <v>2</v>
      </c>
      <c r="T33" s="20" t="s">
        <v>2</v>
      </c>
      <c r="U33" s="20" t="s">
        <v>2</v>
      </c>
      <c r="V33" s="20" t="s">
        <v>2</v>
      </c>
      <c r="W33" s="20" t="s">
        <v>2</v>
      </c>
      <c r="X33" s="20" t="s">
        <v>2</v>
      </c>
      <c r="Y33" s="2"/>
      <c r="Z33" s="2"/>
      <c r="AA33" s="6">
        <f t="shared" ca="1" si="1"/>
        <v>1</v>
      </c>
      <c r="AB33" s="6">
        <f t="shared" ca="1" si="1"/>
        <v>3</v>
      </c>
      <c r="AC33" s="6">
        <f t="shared" ca="1" si="1"/>
        <v>2</v>
      </c>
      <c r="AD33" s="17"/>
      <c r="AE33" s="17"/>
      <c r="AF33" s="18"/>
      <c r="AG33" s="18"/>
      <c r="AH33" s="2" t="s">
        <v>29</v>
      </c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</row>
    <row r="34" spans="1:50" x14ac:dyDescent="0.25">
      <c r="A34" s="6">
        <f>'Importar Dados'!A34</f>
        <v>9999999</v>
      </c>
      <c r="B34" s="6" t="str">
        <f>'Importar Dados'!B34</f>
        <v>Guilherme de Carvalho Carini</v>
      </c>
      <c r="C34" s="6" t="str">
        <f>'Importar Dados'!C34</f>
        <v>carinigui@outlook.com</v>
      </c>
      <c r="D34" s="6">
        <f t="shared" ca="1" si="2"/>
        <v>2</v>
      </c>
      <c r="E34" s="20" t="s">
        <v>2</v>
      </c>
      <c r="F34" s="20" t="s">
        <v>2</v>
      </c>
      <c r="G34" s="20" t="s">
        <v>2</v>
      </c>
      <c r="H34" s="20" t="s">
        <v>2</v>
      </c>
      <c r="I34" s="20" t="s">
        <v>2</v>
      </c>
      <c r="J34" s="20" t="s">
        <v>2</v>
      </c>
      <c r="K34" s="20" t="s">
        <v>2</v>
      </c>
      <c r="L34" s="20" t="s">
        <v>2</v>
      </c>
      <c r="M34" s="20" t="s">
        <v>2</v>
      </c>
      <c r="N34" s="20" t="s">
        <v>2</v>
      </c>
      <c r="O34" s="20" t="s">
        <v>2</v>
      </c>
      <c r="P34" s="20" t="s">
        <v>2</v>
      </c>
      <c r="Q34" s="20" t="s">
        <v>2</v>
      </c>
      <c r="R34" s="20" t="s">
        <v>2</v>
      </c>
      <c r="S34" s="20" t="s">
        <v>2</v>
      </c>
      <c r="T34" s="20" t="s">
        <v>2</v>
      </c>
      <c r="U34" s="20" t="s">
        <v>2</v>
      </c>
      <c r="V34" s="20" t="s">
        <v>2</v>
      </c>
      <c r="W34" s="20" t="s">
        <v>2</v>
      </c>
      <c r="X34" s="20" t="s">
        <v>2</v>
      </c>
      <c r="Y34" s="2"/>
      <c r="Z34" s="2"/>
      <c r="AA34" s="6">
        <f t="shared" ca="1" si="1"/>
        <v>2</v>
      </c>
      <c r="AB34" s="6">
        <f t="shared" ca="1" si="1"/>
        <v>6</v>
      </c>
      <c r="AC34" s="6">
        <f t="shared" ca="1" si="1"/>
        <v>7</v>
      </c>
      <c r="AD34" s="17"/>
      <c r="AE34" s="17"/>
      <c r="AF34" s="18"/>
      <c r="AG34" s="18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</row>
    <row r="35" spans="1:50" x14ac:dyDescent="0.25">
      <c r="A35" s="6">
        <f>'Importar Dados'!A35</f>
        <v>1522779</v>
      </c>
      <c r="B35" s="6" t="str">
        <f>'Importar Dados'!B35</f>
        <v>Thaylor Carvalho de Sousa</v>
      </c>
      <c r="C35" s="6" t="str">
        <f>'Importar Dados'!C35</f>
        <v>thaylorcs@outlook.com</v>
      </c>
      <c r="D35" s="6">
        <f t="shared" ca="1" si="2"/>
        <v>7</v>
      </c>
      <c r="E35" s="20" t="s">
        <v>2</v>
      </c>
      <c r="F35" s="20" t="s">
        <v>2</v>
      </c>
      <c r="G35" s="20" t="s">
        <v>2</v>
      </c>
      <c r="H35" s="20" t="s">
        <v>2</v>
      </c>
      <c r="I35" s="20" t="s">
        <v>2</v>
      </c>
      <c r="J35" s="20" t="s">
        <v>2</v>
      </c>
      <c r="K35" s="20" t="s">
        <v>2</v>
      </c>
      <c r="L35" s="20" t="s">
        <v>2</v>
      </c>
      <c r="M35" s="20" t="s">
        <v>2</v>
      </c>
      <c r="N35" s="20" t="s">
        <v>2</v>
      </c>
      <c r="O35" s="20" t="s">
        <v>2</v>
      </c>
      <c r="P35" s="20" t="s">
        <v>2</v>
      </c>
      <c r="Q35" s="20" t="s">
        <v>2</v>
      </c>
      <c r="R35" s="20" t="s">
        <v>2</v>
      </c>
      <c r="S35" s="20" t="s">
        <v>2</v>
      </c>
      <c r="T35" s="20" t="s">
        <v>2</v>
      </c>
      <c r="U35" s="20" t="s">
        <v>2</v>
      </c>
      <c r="V35" s="20" t="s">
        <v>2</v>
      </c>
      <c r="W35" s="20" t="s">
        <v>2</v>
      </c>
      <c r="X35" s="20" t="s">
        <v>2</v>
      </c>
      <c r="Y35" s="2"/>
      <c r="Z35" s="2"/>
      <c r="AA35" s="6">
        <f t="shared" ca="1" si="1"/>
        <v>4</v>
      </c>
      <c r="AB35" s="6">
        <f t="shared" ca="1" si="1"/>
        <v>5</v>
      </c>
      <c r="AC35" s="6">
        <f t="shared" ca="1" si="1"/>
        <v>5</v>
      </c>
      <c r="AD35" s="17"/>
      <c r="AE35" s="17"/>
      <c r="AF35" s="18"/>
      <c r="AG35" s="18"/>
      <c r="AH35" s="16" t="s">
        <v>30</v>
      </c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</row>
    <row r="36" spans="1:50" x14ac:dyDescent="0.25">
      <c r="A36" s="6">
        <f>'Importar Dados'!A36</f>
        <v>9999991</v>
      </c>
      <c r="B36" s="6" t="str">
        <f>'Importar Dados'!B36</f>
        <v>André Torres Corrêa</v>
      </c>
      <c r="C36" s="6" t="str">
        <f>'Importar Dados'!C36</f>
        <v>atcorrea17@gmail.com</v>
      </c>
      <c r="D36" s="6">
        <f t="shared" ca="1" si="2"/>
        <v>7</v>
      </c>
      <c r="E36" s="20" t="s">
        <v>2</v>
      </c>
      <c r="F36" s="20" t="s">
        <v>2</v>
      </c>
      <c r="G36" s="20" t="s">
        <v>2</v>
      </c>
      <c r="H36" s="20" t="s">
        <v>2</v>
      </c>
      <c r="I36" s="20" t="s">
        <v>2</v>
      </c>
      <c r="J36" s="20" t="s">
        <v>2</v>
      </c>
      <c r="K36" s="20" t="s">
        <v>2</v>
      </c>
      <c r="L36" s="20" t="s">
        <v>2</v>
      </c>
      <c r="M36" s="20" t="s">
        <v>2</v>
      </c>
      <c r="N36" s="20" t="s">
        <v>2</v>
      </c>
      <c r="O36" s="20" t="s">
        <v>2</v>
      </c>
      <c r="P36" s="20" t="s">
        <v>2</v>
      </c>
      <c r="Q36" s="20" t="s">
        <v>2</v>
      </c>
      <c r="R36" s="20" t="s">
        <v>2</v>
      </c>
      <c r="S36" s="20" t="s">
        <v>2</v>
      </c>
      <c r="T36" s="20" t="s">
        <v>2</v>
      </c>
      <c r="U36" s="20" t="s">
        <v>2</v>
      </c>
      <c r="V36" s="20" t="s">
        <v>2</v>
      </c>
      <c r="W36" s="20" t="s">
        <v>2</v>
      </c>
      <c r="X36" s="20" t="s">
        <v>2</v>
      </c>
      <c r="Y36" s="2"/>
      <c r="Z36" s="2"/>
      <c r="AA36" s="6">
        <f t="shared" ca="1" si="1"/>
        <v>10</v>
      </c>
      <c r="AB36" s="6">
        <f t="shared" ca="1" si="1"/>
        <v>2</v>
      </c>
      <c r="AC36" s="6">
        <f t="shared" ca="1" si="1"/>
        <v>5</v>
      </c>
      <c r="AD36" s="17"/>
      <c r="AE36" s="17"/>
      <c r="AF36" s="18"/>
      <c r="AG36" s="18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</row>
    <row r="37" spans="1:50" x14ac:dyDescent="0.25"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"/>
      <c r="Z37" s="2"/>
      <c r="AC37" s="6"/>
      <c r="AD37" s="17"/>
      <c r="AE37" s="17"/>
      <c r="AF37" s="18"/>
      <c r="AG37" s="18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</row>
    <row r="38" spans="1:50" x14ac:dyDescent="0.25"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"/>
      <c r="Z38" s="2"/>
      <c r="AC38" s="6"/>
      <c r="AD38" s="17"/>
      <c r="AE38" s="17"/>
      <c r="AF38" s="18"/>
      <c r="AG38" s="18"/>
      <c r="AH38" s="16" t="s">
        <v>31</v>
      </c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</row>
    <row r="39" spans="1:50" x14ac:dyDescent="0.25"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"/>
      <c r="Z39" s="2"/>
      <c r="AC39" s="6"/>
      <c r="AD39" s="17"/>
      <c r="AE39" s="17"/>
      <c r="AF39" s="18"/>
      <c r="AG39" s="18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</row>
    <row r="40" spans="1:50" x14ac:dyDescent="0.25"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"/>
      <c r="Z40" s="2"/>
      <c r="AC40" s="6"/>
      <c r="AD40" s="17"/>
      <c r="AE40" s="17"/>
      <c r="AF40" s="18"/>
      <c r="AG40" s="18"/>
      <c r="AH40" s="2" t="s">
        <v>32</v>
      </c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</row>
    <row r="41" spans="1:50" x14ac:dyDescent="0.25"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"/>
      <c r="Z41" s="2"/>
      <c r="AC41" s="6"/>
      <c r="AD41" s="17"/>
      <c r="AE41" s="17"/>
      <c r="AF41" s="18"/>
      <c r="AG41" s="18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</row>
    <row r="42" spans="1:50" x14ac:dyDescent="0.25"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"/>
      <c r="Z42" s="2"/>
      <c r="AC42" s="6"/>
      <c r="AD42" s="17"/>
      <c r="AE42" s="17"/>
      <c r="AF42" s="18"/>
      <c r="AG42" s="18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</row>
    <row r="43" spans="1:50" x14ac:dyDescent="0.25"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"/>
      <c r="Z43" s="2"/>
      <c r="AC43" s="6"/>
      <c r="AD43" s="17"/>
      <c r="AE43" s="17"/>
      <c r="AF43" s="18"/>
      <c r="AG43" s="18"/>
    </row>
  </sheetData>
  <conditionalFormatting sqref="Y2:Z36">
    <cfRule type="cellIs" dxfId="10" priority="4" operator="greaterThan">
      <formula>20</formula>
    </cfRule>
  </conditionalFormatting>
  <conditionalFormatting sqref="AF2:AF36">
    <cfRule type="cellIs" dxfId="9" priority="1" operator="equal">
      <formula>"Reprovado"</formula>
    </cfRule>
    <cfRule type="cellIs" dxfId="8" priority="2" operator="equal">
      <formula>"Exame"</formula>
    </cfRule>
    <cfRule type="cellIs" dxfId="7" priority="3" operator="equal">
      <formula>"Aprovado"</formula>
    </cfRule>
  </conditionalFormatting>
  <dataValidations count="2">
    <dataValidation type="list" allowBlank="1" showInputMessage="1" showErrorMessage="1" sqref="E2:J4" xr:uid="{00000000-0002-0000-0300-000000000000}">
      <formula1>"PP,FF,PF,FP"</formula1>
    </dataValidation>
    <dataValidation type="list" allowBlank="1" showInputMessage="1" showErrorMessage="1" sqref="E15:K19" xr:uid="{00000000-0002-0000-0300-000001000000}">
      <formula1>LstFreq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7"/>
  <sheetViews>
    <sheetView tabSelected="1" workbookViewId="0">
      <selection activeCell="B4" sqref="B4"/>
    </sheetView>
  </sheetViews>
  <sheetFormatPr defaultRowHeight="12.5" x14ac:dyDescent="0.25"/>
  <cols>
    <col min="1" max="1" width="13.81640625" bestFit="1" customWidth="1"/>
    <col min="2" max="2" width="27.1796875" customWidth="1"/>
  </cols>
  <sheetData>
    <row r="1" spans="1:5" ht="13" x14ac:dyDescent="0.3">
      <c r="A1" s="1" t="s">
        <v>130</v>
      </c>
    </row>
    <row r="2" spans="1:5" ht="13" thickBot="1" x14ac:dyDescent="0.3"/>
    <row r="3" spans="1:5" ht="16" thickBot="1" x14ac:dyDescent="0.4">
      <c r="A3" s="30" t="s">
        <v>4</v>
      </c>
      <c r="B3" s="31">
        <v>152292</v>
      </c>
      <c r="E3" s="29" t="s">
        <v>131</v>
      </c>
    </row>
    <row r="4" spans="1:5" s="6" customFormat="1" x14ac:dyDescent="0.25">
      <c r="A4" s="22" t="s">
        <v>126</v>
      </c>
      <c r="B4" s="23" t="str">
        <f>VLOOKUP($B$3,TabGstDisc,2,0)</f>
        <v>Adriano Teixeira Mendes</v>
      </c>
      <c r="E4" s="6" t="str">
        <f>VLOOKUP(B3,'Importar Dados'!A1:C36,2,FALSE)</f>
        <v>Adriano Teixeira Mendes</v>
      </c>
    </row>
    <row r="5" spans="1:5" x14ac:dyDescent="0.25">
      <c r="A5" s="24" t="s">
        <v>127</v>
      </c>
      <c r="B5" s="25">
        <f>VLOOKUP($B$3,TabGstDisc,25,0)</f>
        <v>0</v>
      </c>
    </row>
    <row r="6" spans="1:5" x14ac:dyDescent="0.25">
      <c r="A6" s="24" t="s">
        <v>128</v>
      </c>
      <c r="B6" s="26">
        <f ca="1">VLOOKUP($B$3,TabGstDisc,29,0)</f>
        <v>5</v>
      </c>
    </row>
    <row r="7" spans="1:5" ht="13" thickBot="1" x14ac:dyDescent="0.3">
      <c r="A7" s="27" t="s">
        <v>129</v>
      </c>
      <c r="B7" s="28">
        <f>VLOOKUP($B$3,TabGstDisc,31,0)</f>
        <v>0</v>
      </c>
      <c r="D7" t="s">
        <v>0</v>
      </c>
    </row>
  </sheetData>
  <dataValidations count="1">
    <dataValidation type="list" allowBlank="1" showInputMessage="1" showErrorMessage="1" sqref="B3" xr:uid="{00000000-0002-0000-0400-000000000000}">
      <formula1>MatdoAlu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Base Dados</vt:lpstr>
      <vt:lpstr>Macro &amp; Importar</vt:lpstr>
      <vt:lpstr>Importar Dados</vt:lpstr>
      <vt:lpstr>Gest de Aulas</vt:lpstr>
      <vt:lpstr>PROCV, Rs Final</vt:lpstr>
      <vt:lpstr>'Macro &amp; Importar'!CadAlunosdaSecrTxt_1</vt:lpstr>
      <vt:lpstr>'Importar Dados'!CadAlunosdaSecrTxt_4</vt:lpstr>
      <vt:lpstr>ListPr</vt:lpstr>
      <vt:lpstr>LstFreq</vt:lpstr>
      <vt:lpstr>MatdoAlu</vt:lpstr>
      <vt:lpstr>NmdeAlunos</vt:lpstr>
      <vt:lpstr>ParmFalt</vt:lpstr>
      <vt:lpstr>TabGstDisc</vt:lpstr>
    </vt:vector>
  </TitlesOfParts>
  <Company>Nextel Telecomunicações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mteixei2</dc:creator>
  <cp:lastModifiedBy>Manoel Teixeira</cp:lastModifiedBy>
  <cp:lastPrinted>2009-06-27T10:12:58Z</cp:lastPrinted>
  <dcterms:created xsi:type="dcterms:W3CDTF">2008-06-06T22:11:07Z</dcterms:created>
  <dcterms:modified xsi:type="dcterms:W3CDTF">2017-09-11T21:53:39Z</dcterms:modified>
</cp:coreProperties>
</file>