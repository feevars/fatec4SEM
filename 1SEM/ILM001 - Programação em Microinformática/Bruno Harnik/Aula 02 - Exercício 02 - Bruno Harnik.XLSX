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EstaPasta_de_trabalho"/>
  <bookViews>
    <workbookView xWindow="120" yWindow="90" windowWidth="12120" windowHeight="8145" tabRatio="624" firstSheet="2" activeTab="8"/>
  </bookViews>
  <sheets>
    <sheet name="Func 01" sheetId="1" r:id="rId1"/>
    <sheet name="Func 02" sheetId="2" r:id="rId2"/>
    <sheet name="Func 03" sheetId="6" r:id="rId3"/>
    <sheet name="Gráf1" sheetId="9" r:id="rId4"/>
    <sheet name="Func 04" sheetId="8" r:id="rId5"/>
    <sheet name="Func 05" sheetId="3" r:id="rId6"/>
    <sheet name="Func 06" sheetId="4" r:id="rId7"/>
    <sheet name="27-08 Ex-01" sheetId="10" r:id="rId8"/>
    <sheet name="27-08 Ex 02" sheetId="11" r:id="rId9"/>
  </sheets>
  <calcPr calcId="145621"/>
</workbook>
</file>

<file path=xl/calcChain.xml><?xml version="1.0" encoding="utf-8"?>
<calcChain xmlns="http://schemas.openxmlformats.org/spreadsheetml/2006/main">
  <c r="E7" i="10" l="1"/>
  <c r="E6" i="10"/>
  <c r="E5" i="10"/>
  <c r="E4" i="10"/>
  <c r="E3" i="10"/>
  <c r="E2" i="10"/>
  <c r="D3" i="10"/>
  <c r="D7" i="10"/>
  <c r="D4" i="10"/>
  <c r="D6" i="10"/>
  <c r="D5" i="10"/>
  <c r="D2" i="10"/>
  <c r="B21" i="4" l="1"/>
  <c r="B20" i="4"/>
  <c r="B19" i="4"/>
  <c r="E26" i="3"/>
  <c r="D26" i="3"/>
  <c r="C26" i="3"/>
  <c r="B22" i="3"/>
  <c r="B21" i="3"/>
  <c r="B20" i="3"/>
  <c r="B19" i="3"/>
  <c r="J14" i="8"/>
  <c r="J18" i="8"/>
  <c r="J10" i="8"/>
  <c r="J11" i="8"/>
  <c r="J12" i="8"/>
  <c r="J13" i="8"/>
  <c r="J15" i="8"/>
  <c r="J16" i="8"/>
  <c r="J17" i="8"/>
  <c r="J19" i="8"/>
  <c r="J20" i="8"/>
  <c r="J21" i="8"/>
  <c r="J9" i="8"/>
  <c r="I10" i="8"/>
  <c r="I11" i="8"/>
  <c r="I12" i="8"/>
  <c r="I13" i="8"/>
  <c r="I14" i="8"/>
  <c r="I15" i="8"/>
  <c r="I16" i="8"/>
  <c r="I17" i="8"/>
  <c r="I18" i="8"/>
  <c r="I19" i="8"/>
  <c r="I20" i="8"/>
  <c r="I21" i="8"/>
  <c r="H9" i="8"/>
  <c r="I9" i="8"/>
  <c r="H21" i="8"/>
  <c r="H20" i="8"/>
  <c r="H19" i="8"/>
  <c r="H18" i="8"/>
  <c r="H17" i="8"/>
  <c r="H16" i="8"/>
  <c r="H15" i="8"/>
  <c r="H14" i="8"/>
  <c r="H13" i="8"/>
  <c r="H12" i="8"/>
  <c r="H11" i="8"/>
  <c r="H10" i="8"/>
  <c r="F5" i="4" l="1"/>
  <c r="F6" i="4"/>
  <c r="F7" i="4"/>
  <c r="F8" i="4"/>
  <c r="F9" i="4"/>
  <c r="F10" i="4"/>
  <c r="F11" i="4"/>
  <c r="F12" i="4"/>
  <c r="F13" i="4"/>
  <c r="F14" i="4"/>
  <c r="F15" i="4"/>
  <c r="F4" i="4"/>
  <c r="E5" i="4"/>
  <c r="E6" i="4"/>
  <c r="E7" i="4"/>
  <c r="E8" i="4"/>
  <c r="E9" i="4"/>
  <c r="E10" i="4"/>
  <c r="E11" i="4"/>
  <c r="E12" i="4"/>
  <c r="E13" i="4"/>
  <c r="E14" i="4"/>
  <c r="E15" i="4"/>
  <c r="E4" i="4"/>
  <c r="D5" i="4"/>
  <c r="D6" i="4"/>
  <c r="D7" i="4"/>
  <c r="D8" i="4"/>
  <c r="D9" i="4"/>
  <c r="D10" i="4"/>
  <c r="D11" i="4"/>
  <c r="D12" i="4"/>
  <c r="D13" i="4"/>
  <c r="D14" i="4"/>
  <c r="D15" i="4"/>
  <c r="D4" i="4"/>
  <c r="C4" i="4"/>
  <c r="C5" i="4"/>
  <c r="C6" i="4"/>
  <c r="C7" i="4"/>
  <c r="C8" i="4"/>
  <c r="C9" i="4"/>
  <c r="C10" i="4"/>
  <c r="C11" i="4"/>
  <c r="C12" i="4"/>
  <c r="C13" i="4"/>
  <c r="C14" i="4"/>
  <c r="C15" i="4"/>
  <c r="D9" i="2" l="1"/>
  <c r="D10" i="2"/>
  <c r="D11" i="2"/>
  <c r="D12" i="2"/>
  <c r="D13" i="2"/>
  <c r="D8" i="2"/>
  <c r="B14" i="1"/>
  <c r="B16" i="1"/>
  <c r="B15" i="1"/>
  <c r="B13" i="1"/>
  <c r="B12" i="1"/>
  <c r="E7" i="1"/>
  <c r="E8" i="1"/>
  <c r="E9" i="1"/>
  <c r="E10" i="1"/>
  <c r="E6" i="1"/>
  <c r="E27" i="3" l="1"/>
  <c r="D27" i="3"/>
  <c r="C27" i="3"/>
  <c r="G10" i="6"/>
  <c r="G11" i="6"/>
  <c r="G12" i="6"/>
  <c r="G13" i="6"/>
  <c r="G14" i="6"/>
  <c r="G15" i="6"/>
  <c r="G16" i="6"/>
  <c r="G17" i="6"/>
  <c r="G18" i="6"/>
  <c r="G19" i="6"/>
  <c r="G20" i="6"/>
  <c r="G21" i="6"/>
  <c r="G9" i="6"/>
  <c r="F10" i="6"/>
  <c r="F11" i="6"/>
  <c r="F12" i="6"/>
  <c r="F13" i="6"/>
  <c r="F14" i="6"/>
  <c r="F15" i="6"/>
  <c r="F16" i="6"/>
  <c r="F17" i="6"/>
  <c r="F18" i="6"/>
  <c r="F19" i="6"/>
  <c r="F20" i="6"/>
  <c r="F21" i="6"/>
  <c r="F9" i="6"/>
  <c r="D5" i="1" l="1"/>
  <c r="D6" i="1"/>
  <c r="D7" i="1"/>
  <c r="D8" i="1"/>
  <c r="D9" i="1"/>
  <c r="D10" i="1"/>
  <c r="G10" i="8" l="1"/>
  <c r="G11" i="8"/>
  <c r="G12" i="8"/>
  <c r="G13" i="8"/>
  <c r="G14" i="8"/>
  <c r="G15" i="8"/>
  <c r="G16" i="8"/>
  <c r="G17" i="8"/>
  <c r="G18" i="8"/>
  <c r="G19" i="8"/>
  <c r="G20" i="8"/>
  <c r="G21" i="8"/>
  <c r="G9" i="8"/>
  <c r="O6" i="4"/>
  <c r="O7" i="4"/>
  <c r="O8" i="4"/>
  <c r="O9" i="4"/>
  <c r="O10" i="4"/>
  <c r="O11" i="4"/>
  <c r="O12" i="4"/>
  <c r="O13" i="4"/>
  <c r="O14" i="4"/>
  <c r="O15" i="4"/>
  <c r="O5" i="4"/>
  <c r="O4" i="4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<sst xmlns="http://schemas.openxmlformats.org/spreadsheetml/2006/main" count="289" uniqueCount="197">
  <si>
    <t>Nome</t>
  </si>
  <si>
    <t>Salário</t>
  </si>
  <si>
    <t>INSS</t>
  </si>
  <si>
    <t>Plano de Saúde</t>
  </si>
  <si>
    <t>Líquido</t>
  </si>
  <si>
    <t>Maior Salário</t>
  </si>
  <si>
    <t>Menor Salário</t>
  </si>
  <si>
    <t>Total de Salários</t>
  </si>
  <si>
    <t>Média de Salários</t>
  </si>
  <si>
    <t>Exercicio - Func 01</t>
  </si>
  <si>
    <t>Folha de Pagamento - Empresa X</t>
  </si>
  <si>
    <t>A</t>
  </si>
  <si>
    <t>B</t>
  </si>
  <si>
    <t>C</t>
  </si>
  <si>
    <t>D</t>
  </si>
  <si>
    <t>E</t>
  </si>
  <si>
    <t>F</t>
  </si>
  <si>
    <t>Hr. Normais</t>
  </si>
  <si>
    <t>Hr. Extras</t>
  </si>
  <si>
    <t>Salário Bruto</t>
  </si>
  <si>
    <t>Folha de Pagamento - X</t>
  </si>
  <si>
    <t>Exercicio - Func 02</t>
  </si>
  <si>
    <t xml:space="preserve"> </t>
  </si>
  <si>
    <t>SE()</t>
  </si>
  <si>
    <t>CONT.SE</t>
  </si>
  <si>
    <t>Seção</t>
  </si>
  <si>
    <t>CONTAB</t>
  </si>
  <si>
    <t>ADM</t>
  </si>
  <si>
    <t>FINAN</t>
  </si>
  <si>
    <t>SEÇÃO</t>
  </si>
  <si>
    <t>Número de funcionários</t>
  </si>
  <si>
    <t>G</t>
  </si>
  <si>
    <t>H</t>
  </si>
  <si>
    <t>I</t>
  </si>
  <si>
    <t>K</t>
  </si>
  <si>
    <t>L</t>
  </si>
  <si>
    <t>M</t>
  </si>
  <si>
    <t>J</t>
  </si>
  <si>
    <t>Funcionário</t>
  </si>
  <si>
    <t>Saúde</t>
  </si>
  <si>
    <t>Quantos ?</t>
  </si>
  <si>
    <t xml:space="preserve">J </t>
  </si>
  <si>
    <t>SE ()</t>
  </si>
  <si>
    <t>E()</t>
  </si>
  <si>
    <t>CONT.SE ()</t>
  </si>
  <si>
    <t>SOMASE ()</t>
  </si>
  <si>
    <t xml:space="preserve">C </t>
  </si>
  <si>
    <t xml:space="preserve">E </t>
  </si>
  <si>
    <t>1) Se Salário &lt; 500, pagar 50 de plano de saúde;</t>
  </si>
  <si>
    <t>2) Se Salário &gt;= 500 e &lt;1000, pagar 75 de plano de saúde;</t>
  </si>
  <si>
    <t>IR</t>
  </si>
  <si>
    <t>1) Se Salário &lt; 500, pagar 10 de IR;</t>
  </si>
  <si>
    <t>2) Se Salário &gt;= 500 e &lt;1000, pagar 15 de IR;</t>
  </si>
  <si>
    <t>Solução 1</t>
  </si>
  <si>
    <t>Solução 2</t>
  </si>
  <si>
    <t>3) Se Salário &gt;= 1000, pagar 100 de plano de saúde</t>
  </si>
  <si>
    <t>3) Se Salário &gt;= 1000, pagar 25 de IR</t>
  </si>
  <si>
    <t>1) Usar a Guia "Fórmulas/Grupo de Comandos "Auditoria de Fórmulas/Comando "Avaliar Fórmula;</t>
  </si>
  <si>
    <t>Total de Campos valores (Campo Salário)</t>
  </si>
  <si>
    <t>CONT.VALORES ou CONT.NUM? Qual a diferença entre elas?</t>
  </si>
  <si>
    <t>&lt;===</t>
  </si>
  <si>
    <t>&lt;=== Preencher com as funções, vide abaixo, item 2.</t>
  </si>
  <si>
    <t>???</t>
  </si>
  <si>
    <t>Valor - Hora Normal ---&gt;</t>
  </si>
  <si>
    <t>Valor - Hora Extra    ---&gt;</t>
  </si>
  <si>
    <t>Fixar Celula, ou seja, Endereço Absoluto, aplicar em várias outras; Para tal, usar o caracter $ para linha e para coluna ou apenas em uma delas; Somar as horas extras com as horas normais para calcular o Salário Bruto.</t>
  </si>
  <si>
    <t>Maior Salário.........................</t>
  </si>
  <si>
    <t>Menor Salário........................</t>
  </si>
  <si>
    <t>Total de Salários.....................</t>
  </si>
  <si>
    <t>Média de Salários...................</t>
  </si>
  <si>
    <t>SOMASE</t>
  </si>
  <si>
    <t>1) Calcular o Plano Saúde (usar a coluna, saúde), conforme regra abaixo,</t>
  </si>
  <si>
    <t>2) Calcular o INSS, conforme regra abaixo,</t>
  </si>
  <si>
    <t>1) Se Salário &lt; 500, pagar 35 de INSS;</t>
  </si>
  <si>
    <t>2) Se Salário &gt;= 500 e &lt;1000, pagar 65 de INSS;</t>
  </si>
  <si>
    <t>3) Se Salário &gt;= 1000, pagar 90 de INSS;</t>
  </si>
  <si>
    <t>3) Calcular o IR, conforme critério, abaixo:</t>
  </si>
  <si>
    <t>4) Calcular usando as funções adequadas, já foram exploradas anteriormente;</t>
  </si>
  <si>
    <t>Em alguns casos, podemos fazer ninho da funções. Ex.: Vários encadeamentos da função SE;</t>
  </si>
  <si>
    <t>Em outros casos, podemos combinar funções e fórmulas para resolver;</t>
  </si>
  <si>
    <t>Também podemos combinar diversas funções para resolver</t>
  </si>
  <si>
    <t>Salários, &lt; 500</t>
  </si>
  <si>
    <t>Salários, &gt;= 500 e &lt; 1000</t>
  </si>
  <si>
    <t>Salários &gt;= 1000</t>
  </si>
  <si>
    <t>A) Utilizar as funções,</t>
  </si>
  <si>
    <t>B) Dicas,</t>
  </si>
  <si>
    <t>Soma dos Salários?</t>
  </si>
  <si>
    <t xml:space="preserve">Nº: </t>
  </si>
  <si>
    <t>Turma:</t>
  </si>
  <si>
    <t>Série:</t>
  </si>
  <si>
    <t>Peso do        1º Semestre</t>
  </si>
  <si>
    <t>Peso do          2º Semestre</t>
  </si>
  <si>
    <t>Código  da Disciplina</t>
  </si>
  <si>
    <t>Disciplina</t>
  </si>
  <si>
    <t>Nota           1º Semestre</t>
  </si>
  <si>
    <t>Nota                   2º Semestre</t>
  </si>
  <si>
    <t>Média</t>
  </si>
  <si>
    <t>Situação</t>
  </si>
  <si>
    <t>MAT</t>
  </si>
  <si>
    <t>MATEMÁTICA</t>
  </si>
  <si>
    <t>PORT</t>
  </si>
  <si>
    <t>PORTUGUÊS</t>
  </si>
  <si>
    <t>QUI</t>
  </si>
  <si>
    <t>QUÍMICA</t>
  </si>
  <si>
    <t>FÍS</t>
  </si>
  <si>
    <t>FÍSICA</t>
  </si>
  <si>
    <t>ED.ART</t>
  </si>
  <si>
    <t>ED. ARTÍSTICA</t>
  </si>
  <si>
    <t>ED.FÍS</t>
  </si>
  <si>
    <t>ED. FÍSICA</t>
  </si>
  <si>
    <t>INFO</t>
  </si>
  <si>
    <t>INFORMÁTICA</t>
  </si>
  <si>
    <t>HIST</t>
  </si>
  <si>
    <t>HISTÓRIA</t>
  </si>
  <si>
    <t>GEO</t>
  </si>
  <si>
    <t>GEOGRAFIA</t>
  </si>
  <si>
    <t>BIO</t>
  </si>
  <si>
    <t>BIOLOGIA</t>
  </si>
  <si>
    <t>ED.TRAB</t>
  </si>
  <si>
    <t>ED. PARA O TRABALHO</t>
  </si>
  <si>
    <t>ING</t>
  </si>
  <si>
    <t>INGLÊS</t>
  </si>
  <si>
    <t>ESP</t>
  </si>
  <si>
    <t>ESPANHOL</t>
  </si>
  <si>
    <t>( Nota do 1º Semestre x Peso do 1º Semestre ) + (Nota do 2º Semestre x Peso do 2º Semestre )</t>
  </si>
  <si>
    <t>( Peso do 1º Semestre + Peso do 2º Semestre)</t>
  </si>
  <si>
    <t>1) Instruções</t>
  </si>
  <si>
    <t>a) Cálculo da Média===&gt;&gt;&gt;</t>
  </si>
  <si>
    <r>
      <t xml:space="preserve">c) Deve classificar a tabela pelo </t>
    </r>
    <r>
      <rPr>
        <b/>
        <sz val="10"/>
        <rFont val="Arial"/>
        <family val="2"/>
      </rPr>
      <t>Código da Disciplina.</t>
    </r>
  </si>
  <si>
    <t>b) Situação ===&gt;&gt;&gt;  SE (Média &gt;= 7 ), deve colocar a mensagem  APROVADO, caso contrário, REPROVADO;</t>
  </si>
  <si>
    <t>Boletim Escolar - 2009</t>
  </si>
  <si>
    <t xml:space="preserve">  Nome: </t>
  </si>
  <si>
    <t>TROPICAL FRUTAS</t>
  </si>
  <si>
    <t>Especializado</t>
  </si>
  <si>
    <t>Data:</t>
  </si>
  <si>
    <t>na exportação</t>
  </si>
  <si>
    <t>de produtos perecíveis</t>
  </si>
  <si>
    <t>FRUTA</t>
  </si>
  <si>
    <t>DESTINO</t>
  </si>
  <si>
    <t>REGIÃO</t>
  </si>
  <si>
    <t>PESO - Quilo</t>
  </si>
  <si>
    <t>PREÇO DO QUILO - R$</t>
  </si>
  <si>
    <t>PREÇO DO PRODUTO - R$</t>
  </si>
  <si>
    <t>CUSTO DO FRETE</t>
  </si>
  <si>
    <t>TOTAL A PAGAR</t>
  </si>
  <si>
    <t>TOTAL A PAGAR EM DÓLAR</t>
  </si>
  <si>
    <t>Banana</t>
  </si>
  <si>
    <t>EUA</t>
  </si>
  <si>
    <t>Uva</t>
  </si>
  <si>
    <t>Canadá</t>
  </si>
  <si>
    <t>Melão</t>
  </si>
  <si>
    <t>Espanha</t>
  </si>
  <si>
    <t>Europa</t>
  </si>
  <si>
    <t>Abacaxi</t>
  </si>
  <si>
    <t>Itália</t>
  </si>
  <si>
    <t>Abacate</t>
  </si>
  <si>
    <t>Argentina</t>
  </si>
  <si>
    <t>Chile</t>
  </si>
  <si>
    <t>Amora</t>
  </si>
  <si>
    <t>Melancia</t>
  </si>
  <si>
    <t>Maçã</t>
  </si>
  <si>
    <t>Pera</t>
  </si>
  <si>
    <t>Laranja</t>
  </si>
  <si>
    <t>Morango</t>
  </si>
  <si>
    <t xml:space="preserve">1. Se a Região for América, o custo do frete será de </t>
  </si>
  <si>
    <t xml:space="preserve">do Preço do produto, caso contrário, será de </t>
  </si>
  <si>
    <t>2. Se a Região for América, o valor do dólar será de</t>
  </si>
  <si>
    <t>, caso contrário, será de</t>
  </si>
  <si>
    <t>Explorar todas as funções COUNT?Avaliar cada um adelas</t>
  </si>
  <si>
    <t>Exercicio - Func 03</t>
  </si>
  <si>
    <t>Exercicio - Func 04</t>
  </si>
  <si>
    <t>2) Verificar a coluna "Dn", pois ela possui a função "SE" que aplica cálculos, a partir de uma determinada condição;</t>
  </si>
  <si>
    <t>3) Usar as funções, abaixo, respectivamente;</t>
  </si>
  <si>
    <t>4) Consultar a biblioteca de funções;</t>
  </si>
  <si>
    <t>5) Usar a função Help em algumas delas;</t>
  </si>
  <si>
    <t>Exercício - Func 05</t>
  </si>
  <si>
    <t>1) Calcular</t>
  </si>
  <si>
    <t>2) Usar as funções,</t>
  </si>
  <si>
    <t>Exercício - Func 06</t>
  </si>
  <si>
    <t>America</t>
  </si>
  <si>
    <t>MAIOR, explorar esta função e tentar obter o resultado por ela também, além da máximo;</t>
  </si>
  <si>
    <t>MÀXIMO, MÍNIMO, SOMA, MÈDIA,</t>
  </si>
  <si>
    <t>Valor Real</t>
  </si>
  <si>
    <t>Mês</t>
  </si>
  <si>
    <t>Cot. Dolar</t>
  </si>
  <si>
    <t>Usar VBA</t>
  </si>
  <si>
    <t>Usar Formula</t>
  </si>
  <si>
    <t>Jan</t>
  </si>
  <si>
    <t>Fev</t>
  </si>
  <si>
    <t>Mar</t>
  </si>
  <si>
    <t>Abr</t>
  </si>
  <si>
    <t>Mai</t>
  </si>
  <si>
    <t>Jun</t>
  </si>
  <si>
    <t>Cliente1</t>
  </si>
  <si>
    <t>Valor1</t>
  </si>
  <si>
    <t>Cliente2</t>
  </si>
  <si>
    <t>Valor2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</si>
</sst>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(&quot;R$&quot;* #,##0.00_);_(&quot;R$&quot;* \(#,##0.00\);_(&quot;R$&quot;* &quot;-&quot;??_);_(@_)"/>
    <numFmt numFmtId="166" formatCode="&quot;R$&quot;#,##0.00_);[Red]\(&quot;R$&quot;#,##0.00\)"/>
    <numFmt numFmtId="167" formatCode="0.0"/>
    <numFmt numFmtId="168" formatCode="_-[$$-409]* #,##0.00_ ;_-[$$-409]* \-#,##0.00\ ;_-[$$-409]* &quot;-&quot;??_ ;_-@_ "/>
    <numFmt numFmtId="169" formatCode="&quot;R$&quot;\ #,##0.00"/>
  </numFmts>
  <fonts count="2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2"/>
      <name val="Arial"/>
      <family val="2"/>
    </font>
    <font>
      <b/>
      <sz val="16"/>
      <color indexed="49"/>
      <name val="Arial"/>
      <family val="2"/>
    </font>
    <font>
      <b/>
      <sz val="10"/>
      <color indexed="49"/>
      <name val="Arial"/>
      <family val="2"/>
    </font>
    <font>
      <i/>
      <sz val="10"/>
      <name val="Arial"/>
      <family val="2"/>
    </font>
    <font>
      <b/>
      <sz val="26"/>
      <color indexed="60"/>
      <name val="Bradley Hand ITC"/>
      <family val="4"/>
    </font>
    <font>
      <i/>
      <sz val="10"/>
      <color indexed="60"/>
      <name val="Bradley Hand ITC"/>
      <family val="4"/>
    </font>
    <font>
      <sz val="10"/>
      <color indexed="18"/>
      <name val="Arial"/>
      <family val="2"/>
    </font>
    <font>
      <sz val="10"/>
      <color indexed="60"/>
      <name val="Comic Sans MS"/>
      <family val="4"/>
    </font>
    <font>
      <b/>
      <sz val="10"/>
      <name val="Comic Sans MS"/>
      <family val="4"/>
    </font>
    <font>
      <sz val="10"/>
      <name val="Comic Sans MS"/>
      <family val="4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Comic Sans MS"/>
      <family val="4"/>
    </font>
    <font>
      <u/>
      <sz val="10"/>
      <name val="Arial"/>
      <family val="2"/>
    </font>
    <font>
      <u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16"/>
      </top>
      <bottom/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16"/>
      </right>
      <top/>
      <bottom/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16"/>
      </left>
      <right/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right"/>
    </xf>
    <xf numFmtId="0" fontId="16" fillId="0" borderId="0" xfId="0" applyFont="1"/>
    <xf numFmtId="0" fontId="4" fillId="0" borderId="0" xfId="0" applyFont="1"/>
    <xf numFmtId="2" fontId="4" fillId="0" borderId="0" xfId="0" applyNumberFormat="1" applyFont="1"/>
    <xf numFmtId="2" fontId="2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/>
    <xf numFmtId="2" fontId="17" fillId="0" borderId="0" xfId="0" applyNumberFormat="1" applyFont="1"/>
    <xf numFmtId="0" fontId="5" fillId="2" borderId="0" xfId="0" applyFont="1" applyFill="1"/>
    <xf numFmtId="0" fontId="16" fillId="5" borderId="0" xfId="0" applyFont="1" applyFill="1"/>
    <xf numFmtId="0" fontId="6" fillId="0" borderId="0" xfId="0" applyFont="1"/>
    <xf numFmtId="0" fontId="5" fillId="2" borderId="0" xfId="0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Continuous"/>
    </xf>
    <xf numFmtId="0" fontId="2" fillId="4" borderId="2" xfId="0" applyFont="1" applyFill="1" applyBorder="1" applyAlignment="1">
      <alignment horizontal="centerContinuous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centerContinuous"/>
    </xf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Continuous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Continuous"/>
    </xf>
    <xf numFmtId="0" fontId="9" fillId="0" borderId="0" xfId="0" applyFont="1" applyFill="1" applyBorder="1" applyAlignment="1">
      <alignment horizontal="center"/>
    </xf>
    <xf numFmtId="0" fontId="11" fillId="3" borderId="12" xfId="0" applyFont="1" applyFill="1" applyBorder="1"/>
    <xf numFmtId="0" fontId="12" fillId="3" borderId="13" xfId="0" applyFont="1" applyFill="1" applyBorder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3" borderId="14" xfId="0" applyFill="1" applyBorder="1"/>
    <xf numFmtId="0" fontId="11" fillId="3" borderId="0" xfId="0" applyFont="1" applyFill="1" applyBorder="1"/>
    <xf numFmtId="0" fontId="12" fillId="3" borderId="15" xfId="0" applyFont="1" applyFill="1" applyBorder="1"/>
    <xf numFmtId="0" fontId="11" fillId="3" borderId="16" xfId="0" applyFont="1" applyFill="1" applyBorder="1"/>
    <xf numFmtId="0" fontId="12" fillId="3" borderId="17" xfId="0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65" fontId="14" fillId="0" borderId="0" xfId="1" applyNumberFormat="1" applyFont="1"/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10" fontId="15" fillId="0" borderId="14" xfId="0" applyNumberFormat="1" applyFont="1" applyBorder="1" applyAlignment="1">
      <alignment horizontal="center"/>
    </xf>
    <xf numFmtId="166" fontId="15" fillId="0" borderId="14" xfId="0" applyNumberFormat="1" applyFont="1" applyBorder="1" applyAlignment="1">
      <alignment horizontal="center"/>
    </xf>
    <xf numFmtId="0" fontId="2" fillId="0" borderId="21" xfId="0" applyFont="1" applyBorder="1"/>
    <xf numFmtId="0" fontId="4" fillId="0" borderId="21" xfId="0" applyFont="1" applyBorder="1"/>
    <xf numFmtId="2" fontId="0" fillId="0" borderId="21" xfId="0" applyNumberFormat="1" applyBorder="1"/>
    <xf numFmtId="2" fontId="4" fillId="0" borderId="21" xfId="0" applyNumberFormat="1" applyFont="1" applyBorder="1"/>
    <xf numFmtId="44" fontId="18" fillId="0" borderId="0" xfId="0" applyNumberFormat="1" applyFont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0" fontId="3" fillId="0" borderId="39" xfId="0" applyFont="1" applyBorder="1"/>
    <xf numFmtId="0" fontId="0" fillId="0" borderId="40" xfId="0" applyBorder="1"/>
    <xf numFmtId="0" fontId="0" fillId="0" borderId="41" xfId="0" applyBorder="1"/>
    <xf numFmtId="0" fontId="7" fillId="0" borderId="42" xfId="0" applyFont="1" applyBorder="1" applyAlignment="1">
      <alignment horizontal="centerContinuous"/>
    </xf>
    <xf numFmtId="0" fontId="7" fillId="0" borderId="43" xfId="0" applyFont="1" applyBorder="1" applyAlignment="1">
      <alignment horizontal="centerContinuous"/>
    </xf>
    <xf numFmtId="0" fontId="4" fillId="4" borderId="44" xfId="0" applyFont="1" applyFill="1" applyBorder="1" applyAlignment="1">
      <alignment horizontal="right"/>
    </xf>
    <xf numFmtId="0" fontId="2" fillId="4" borderId="45" xfId="0" applyFont="1" applyFill="1" applyBorder="1" applyAlignment="1">
      <alignment horizontal="center"/>
    </xf>
    <xf numFmtId="0" fontId="4" fillId="4" borderId="46" xfId="0" applyFont="1" applyFill="1" applyBorder="1" applyAlignment="1">
      <alignment horizontal="right"/>
    </xf>
    <xf numFmtId="0" fontId="2" fillId="4" borderId="47" xfId="0" applyFont="1" applyFill="1" applyBorder="1" applyAlignment="1">
      <alignment horizont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0" fillId="0" borderId="53" xfId="0" applyBorder="1" applyAlignment="1">
      <alignment horizontal="centerContinuous"/>
    </xf>
    <xf numFmtId="0" fontId="0" fillId="0" borderId="53" xfId="0" applyBorder="1" applyAlignment="1">
      <alignment horizontal="center"/>
    </xf>
    <xf numFmtId="0" fontId="19" fillId="0" borderId="0" xfId="0" applyFont="1"/>
    <xf numFmtId="2" fontId="20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0" fontId="17" fillId="0" borderId="0" xfId="0" applyNumberFormat="1" applyFont="1" applyAlignment="1">
      <alignment horizontal="center"/>
    </xf>
    <xf numFmtId="8" fontId="0" fillId="0" borderId="0" xfId="0" applyNumberFormat="1"/>
    <xf numFmtId="0" fontId="0" fillId="0" borderId="0" xfId="0" applyNumberFormat="1"/>
    <xf numFmtId="169" fontId="0" fillId="0" borderId="0" xfId="0" applyNumberFormat="1"/>
    <xf numFmtId="8" fontId="0" fillId="0" borderId="0" xfId="0" applyNumberFormat="1" applyAlignment="1">
      <alignment horizontal="left"/>
    </xf>
    <xf numFmtId="0" fontId="16" fillId="0" borderId="2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7" fillId="0" borderId="0" xfId="0" applyFont="1" applyAlignment="1">
      <alignment horizontal="justify" vertical="justify"/>
    </xf>
    <xf numFmtId="0" fontId="0" fillId="0" borderId="4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3" xfId="0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3" borderId="2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" fillId="0" borderId="21" xfId="0" applyFont="1" applyBorder="1" applyAlignment="1">
      <alignment horizont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169" fontId="19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 04'!$E$8</c:f>
              <c:strCache>
                <c:ptCount val="1"/>
                <c:pt idx="0">
                  <c:v>PESO - Quilo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04'!$E$9:$E$21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2000</c:v>
                </c:pt>
                <c:pt idx="4">
                  <c:v>1000</c:v>
                </c:pt>
                <c:pt idx="5">
                  <c:v>2900</c:v>
                </c:pt>
                <c:pt idx="6">
                  <c:v>3000</c:v>
                </c:pt>
                <c:pt idx="7">
                  <c:v>4000</c:v>
                </c:pt>
                <c:pt idx="8">
                  <c:v>4000</c:v>
                </c:pt>
                <c:pt idx="9">
                  <c:v>3400</c:v>
                </c:pt>
                <c:pt idx="10">
                  <c:v>2000</c:v>
                </c:pt>
                <c:pt idx="11">
                  <c:v>2300</c:v>
                </c:pt>
                <c:pt idx="12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'Func 04'!$F$8</c:f>
              <c:strCache>
                <c:ptCount val="1"/>
                <c:pt idx="0">
                  <c:v>PREÇO DO QUILO - R$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04'!$F$9:$F$21</c:f>
              <c:numCache>
                <c:formatCode>_("R$"* #,##0.00_);_("R$"* \(#,##0.00\);_("R$"* "-"??_);_(@_)</c:formatCode>
                <c:ptCount val="13"/>
                <c:pt idx="0">
                  <c:v>5</c:v>
                </c:pt>
                <c:pt idx="1">
                  <c:v>6.5</c:v>
                </c:pt>
                <c:pt idx="2">
                  <c:v>6.8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7.5</c:v>
                </c:pt>
                <c:pt idx="7">
                  <c:v>5</c:v>
                </c:pt>
                <c:pt idx="8">
                  <c:v>6</c:v>
                </c:pt>
                <c:pt idx="9">
                  <c:v>5.5</c:v>
                </c:pt>
                <c:pt idx="10">
                  <c:v>7.8</c:v>
                </c:pt>
                <c:pt idx="11">
                  <c:v>8</c:v>
                </c:pt>
                <c:pt idx="12">
                  <c:v>8.5</c:v>
                </c:pt>
              </c:numCache>
            </c:numRef>
          </c:val>
        </c:ser>
        <c:ser>
          <c:idx val="2"/>
          <c:order val="2"/>
          <c:tx>
            <c:strRef>
              <c:f>'Func 04'!$G$8</c:f>
              <c:strCache>
                <c:ptCount val="1"/>
                <c:pt idx="0">
                  <c:v>PREÇO DO PRODUTO - R$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04'!$G$9:$G$21</c:f>
              <c:numCache>
                <c:formatCode>_("R$"* #,##0.00_);_("R$"* \(#,##0.00\);_("R$"* "-"??_);_(@_)</c:formatCode>
                <c:ptCount val="13"/>
                <c:pt idx="0">
                  <c:v>10000</c:v>
                </c:pt>
                <c:pt idx="1">
                  <c:v>16250</c:v>
                </c:pt>
                <c:pt idx="2">
                  <c:v>20400</c:v>
                </c:pt>
                <c:pt idx="3">
                  <c:v>12000</c:v>
                </c:pt>
                <c:pt idx="4">
                  <c:v>7000</c:v>
                </c:pt>
                <c:pt idx="5">
                  <c:v>20300</c:v>
                </c:pt>
                <c:pt idx="6">
                  <c:v>22500</c:v>
                </c:pt>
                <c:pt idx="7">
                  <c:v>20000</c:v>
                </c:pt>
                <c:pt idx="8">
                  <c:v>24000</c:v>
                </c:pt>
                <c:pt idx="9">
                  <c:v>18700</c:v>
                </c:pt>
                <c:pt idx="10">
                  <c:v>15600</c:v>
                </c:pt>
                <c:pt idx="11">
                  <c:v>18400</c:v>
                </c:pt>
                <c:pt idx="12">
                  <c:v>8500</c:v>
                </c:pt>
              </c:numCache>
            </c:numRef>
          </c:val>
        </c:ser>
        <c:ser>
          <c:idx val="3"/>
          <c:order val="3"/>
          <c:tx>
            <c:strRef>
              <c:f>'Func 04'!$H$8</c:f>
              <c:strCache>
                <c:ptCount val="1"/>
                <c:pt idx="0">
                  <c:v>CUSTO DO FRETE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04'!$H$9:$H$21</c:f>
              <c:numCache>
                <c:formatCode>0.00</c:formatCode>
                <c:ptCount val="13"/>
                <c:pt idx="0">
                  <c:v>1000</c:v>
                </c:pt>
                <c:pt idx="1">
                  <c:v>1625</c:v>
                </c:pt>
                <c:pt idx="2">
                  <c:v>4080</c:v>
                </c:pt>
                <c:pt idx="3">
                  <c:v>2400</c:v>
                </c:pt>
                <c:pt idx="4">
                  <c:v>700</c:v>
                </c:pt>
                <c:pt idx="5">
                  <c:v>2030</c:v>
                </c:pt>
                <c:pt idx="6">
                  <c:v>4500</c:v>
                </c:pt>
                <c:pt idx="7">
                  <c:v>2000</c:v>
                </c:pt>
                <c:pt idx="8">
                  <c:v>2400</c:v>
                </c:pt>
                <c:pt idx="9">
                  <c:v>3740</c:v>
                </c:pt>
                <c:pt idx="10">
                  <c:v>1560</c:v>
                </c:pt>
                <c:pt idx="11">
                  <c:v>1840</c:v>
                </c:pt>
                <c:pt idx="12">
                  <c:v>1700</c:v>
                </c:pt>
              </c:numCache>
            </c:numRef>
          </c:val>
        </c:ser>
        <c:ser>
          <c:idx val="4"/>
          <c:order val="4"/>
          <c:tx>
            <c:strRef>
              <c:f>'Func 04'!$I$8</c:f>
              <c:strCache>
                <c:ptCount val="1"/>
                <c:pt idx="0">
                  <c:v>TOTAL A PAGAR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04'!$I$9:$I$21</c:f>
              <c:numCache>
                <c:formatCode>_("R$"* #,##0.00_);_("R$"* \(#,##0.00\);_("R$"* "-"??_);_(@_)</c:formatCode>
                <c:ptCount val="13"/>
                <c:pt idx="0">
                  <c:v>11000</c:v>
                </c:pt>
                <c:pt idx="1">
                  <c:v>17875</c:v>
                </c:pt>
                <c:pt idx="2">
                  <c:v>24480</c:v>
                </c:pt>
                <c:pt idx="3">
                  <c:v>14400</c:v>
                </c:pt>
                <c:pt idx="4">
                  <c:v>7700</c:v>
                </c:pt>
                <c:pt idx="5">
                  <c:v>22330</c:v>
                </c:pt>
                <c:pt idx="6">
                  <c:v>27000</c:v>
                </c:pt>
                <c:pt idx="7">
                  <c:v>22000</c:v>
                </c:pt>
                <c:pt idx="8">
                  <c:v>26400</c:v>
                </c:pt>
                <c:pt idx="9">
                  <c:v>22440</c:v>
                </c:pt>
                <c:pt idx="10">
                  <c:v>17160</c:v>
                </c:pt>
                <c:pt idx="11">
                  <c:v>20240</c:v>
                </c:pt>
                <c:pt idx="12">
                  <c:v>10200</c:v>
                </c:pt>
              </c:numCache>
            </c:numRef>
          </c:val>
        </c:ser>
        <c:ser>
          <c:idx val="5"/>
          <c:order val="5"/>
          <c:tx>
            <c:strRef>
              <c:f>'Func 04'!$J$8</c:f>
              <c:strCache>
                <c:ptCount val="1"/>
                <c:pt idx="0">
                  <c:v>TOTAL A PAGAR EM DÓLAR</c:v>
                </c:pt>
              </c:strCache>
            </c:strRef>
          </c:tx>
          <c:invertIfNegative val="0"/>
          <c:cat>
            <c:multiLvlStrRef>
              <c:f>'Func 04'!$B$9:$D$21</c:f>
              <c:multiLvlStrCache>
                <c:ptCount val="13"/>
                <c:lvl>
                  <c:pt idx="0">
                    <c:v>America</c:v>
                  </c:pt>
                  <c:pt idx="1">
                    <c:v>America</c:v>
                  </c:pt>
                  <c:pt idx="2">
                    <c:v>Europa</c:v>
                  </c:pt>
                  <c:pt idx="3">
                    <c:v>Europa</c:v>
                  </c:pt>
                  <c:pt idx="4">
                    <c:v>America</c:v>
                  </c:pt>
                  <c:pt idx="5">
                    <c:v>America</c:v>
                  </c:pt>
                  <c:pt idx="6">
                    <c:v>Europa</c:v>
                  </c:pt>
                  <c:pt idx="7">
                    <c:v>America</c:v>
                  </c:pt>
                  <c:pt idx="8">
                    <c:v>America</c:v>
                  </c:pt>
                  <c:pt idx="9">
                    <c:v>Europa</c:v>
                  </c:pt>
                  <c:pt idx="10">
                    <c:v>America</c:v>
                  </c:pt>
                  <c:pt idx="11">
                    <c:v>America</c:v>
                  </c:pt>
                  <c:pt idx="12">
                    <c:v>Europa</c:v>
                  </c:pt>
                </c:lvl>
                <c:lvl>
                  <c:pt idx="0">
                    <c:v>EUA</c:v>
                  </c:pt>
                  <c:pt idx="1">
                    <c:v>Canadá</c:v>
                  </c:pt>
                  <c:pt idx="2">
                    <c:v>Espanha</c:v>
                  </c:pt>
                  <c:pt idx="3">
                    <c:v>Itália</c:v>
                  </c:pt>
                  <c:pt idx="4">
                    <c:v>Argentina</c:v>
                  </c:pt>
                  <c:pt idx="5">
                    <c:v>Chile</c:v>
                  </c:pt>
                  <c:pt idx="6">
                    <c:v>Espanha</c:v>
                  </c:pt>
                  <c:pt idx="7">
                    <c:v>Canadá</c:v>
                  </c:pt>
                  <c:pt idx="8">
                    <c:v>Chile</c:v>
                  </c:pt>
                  <c:pt idx="9">
                    <c:v>Itália</c:v>
                  </c:pt>
                  <c:pt idx="10">
                    <c:v>Argentina</c:v>
                  </c:pt>
                  <c:pt idx="11">
                    <c:v>EUA</c:v>
                  </c:pt>
                  <c:pt idx="12">
                    <c:v>Itália</c:v>
                  </c:pt>
                </c:lvl>
                <c:lvl>
                  <c:pt idx="0">
                    <c:v>Banana</c:v>
                  </c:pt>
                  <c:pt idx="1">
                    <c:v>Uva</c:v>
                  </c:pt>
                  <c:pt idx="2">
                    <c:v>Melão</c:v>
                  </c:pt>
                  <c:pt idx="3">
                    <c:v>Abacaxi</c:v>
                  </c:pt>
                  <c:pt idx="4">
                    <c:v>Abacate</c:v>
                  </c:pt>
                  <c:pt idx="5">
                    <c:v>Uva</c:v>
                  </c:pt>
                  <c:pt idx="6">
                    <c:v>Amora</c:v>
                  </c:pt>
                  <c:pt idx="7">
                    <c:v>Melancia</c:v>
                  </c:pt>
                  <c:pt idx="8">
                    <c:v>Melão</c:v>
                  </c:pt>
                  <c:pt idx="9">
                    <c:v>Maçã</c:v>
                  </c:pt>
                  <c:pt idx="10">
                    <c:v>Pera</c:v>
                  </c:pt>
                  <c:pt idx="11">
                    <c:v>Laranja</c:v>
                  </c:pt>
                  <c:pt idx="12">
                    <c:v>Morango</c:v>
                  </c:pt>
                </c:lvl>
              </c:multiLvlStrCache>
            </c:multiLvlStrRef>
          </c:cat>
          <c:val>
            <c:numRef>
              <c:f>'Func 04'!$J$9:$J$21</c:f>
              <c:numCache>
                <c:formatCode>_-[$$-409]* #,##0.00_ ;_-[$$-409]* \-#,##0.00\ ;_-[$$-409]* "-"??_ ;_-@_ </c:formatCode>
                <c:ptCount val="13"/>
                <c:pt idx="0">
                  <c:v>3666.6666666666665</c:v>
                </c:pt>
                <c:pt idx="1">
                  <c:v>5958.333333333333</c:v>
                </c:pt>
                <c:pt idx="2">
                  <c:v>12240</c:v>
                </c:pt>
                <c:pt idx="3">
                  <c:v>7200</c:v>
                </c:pt>
                <c:pt idx="4">
                  <c:v>2566.6666666666665</c:v>
                </c:pt>
                <c:pt idx="5">
                  <c:v>7443.333333333333</c:v>
                </c:pt>
                <c:pt idx="6">
                  <c:v>13500</c:v>
                </c:pt>
                <c:pt idx="7">
                  <c:v>7333.333333333333</c:v>
                </c:pt>
                <c:pt idx="8">
                  <c:v>8800</c:v>
                </c:pt>
                <c:pt idx="9">
                  <c:v>11220</c:v>
                </c:pt>
                <c:pt idx="10">
                  <c:v>5720</c:v>
                </c:pt>
                <c:pt idx="11">
                  <c:v>6746.666666666667</c:v>
                </c:pt>
                <c:pt idx="12">
                  <c:v>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64000"/>
        <c:axId val="75265536"/>
      </c:barChart>
      <c:catAx>
        <c:axId val="75264000"/>
        <c:scaling>
          <c:orientation val="minMax"/>
        </c:scaling>
        <c:delete val="0"/>
        <c:axPos val="b"/>
        <c:majorTickMark val="out"/>
        <c:minorTickMark val="none"/>
        <c:tickLblPos val="nextTo"/>
        <c:crossAx val="75265536"/>
        <c:crosses val="autoZero"/>
        <c:auto val="1"/>
        <c:lblAlgn val="ctr"/>
        <c:lblOffset val="100"/>
        <c:noMultiLvlLbl val="0"/>
      </c:catAx>
      <c:valAx>
        <c:axId val="75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26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áf1"/>
  <sheetViews>
    <sheetView zoomScale="9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20</xdr:row>
      <xdr:rowOff>123825</xdr:rowOff>
    </xdr:from>
    <xdr:to>
      <xdr:col>5</xdr:col>
      <xdr:colOff>561974</xdr:colOff>
      <xdr:row>22</xdr:row>
      <xdr:rowOff>47625</xdr:rowOff>
    </xdr:to>
    <xdr:sp macro="" textlink="">
      <xdr:nvSpPr>
        <xdr:cNvPr id="2" name="Seta para a direita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5876924" y="4371975"/>
          <a:ext cx="504825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95256</xdr:colOff>
      <xdr:row>9</xdr:row>
      <xdr:rowOff>57154</xdr:rowOff>
    </xdr:from>
    <xdr:to>
      <xdr:col>4</xdr:col>
      <xdr:colOff>516055</xdr:colOff>
      <xdr:row>10</xdr:row>
      <xdr:rowOff>103663</xdr:rowOff>
    </xdr:to>
    <xdr:sp macro="" textlink="">
      <xdr:nvSpPr>
        <xdr:cNvPr id="3" name="Seta para a esquerda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019556" y="1552579"/>
          <a:ext cx="420799" cy="20843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4062" cy="600415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28575</xdr:rowOff>
    </xdr:from>
    <xdr:to>
      <xdr:col>8</xdr:col>
      <xdr:colOff>0</xdr:colOff>
      <xdr:row>5</xdr:row>
      <xdr:rowOff>152400</xdr:rowOff>
    </xdr:to>
    <xdr:grpSp>
      <xdr:nvGrpSpPr>
        <xdr:cNvPr id="8890" name="Group 19">
          <a:extLst>
            <a:ext uri="{FF2B5EF4-FFF2-40B4-BE49-F238E27FC236}">
              <a16:creationId xmlns="" xmlns:a16="http://schemas.microsoft.com/office/drawing/2014/main" id="{00000000-0008-0000-0300-0000BA220000}"/>
            </a:ext>
          </a:extLst>
        </xdr:cNvPr>
        <xdr:cNvGrpSpPr>
          <a:grpSpLocks/>
        </xdr:cNvGrpSpPr>
      </xdr:nvGrpSpPr>
      <xdr:grpSpPr bwMode="auto">
        <a:xfrm>
          <a:off x="5262563" y="0"/>
          <a:ext cx="1821656" cy="0"/>
          <a:chOff x="528" y="8"/>
          <a:chExt cx="196" cy="108"/>
        </a:xfrm>
      </xdr:grpSpPr>
      <xdr:grpSp>
        <xdr:nvGrpSpPr>
          <xdr:cNvPr id="8891" name="Group 16">
            <a:extLst>
              <a:ext uri="{FF2B5EF4-FFF2-40B4-BE49-F238E27FC236}">
                <a16:creationId xmlns="" xmlns:a16="http://schemas.microsoft.com/office/drawing/2014/main" id="{00000000-0008-0000-0300-0000BB220000}"/>
              </a:ext>
            </a:extLst>
          </xdr:cNvPr>
          <xdr:cNvGrpSpPr>
            <a:grpSpLocks/>
          </xdr:cNvGrpSpPr>
        </xdr:nvGrpSpPr>
        <xdr:grpSpPr bwMode="auto">
          <a:xfrm>
            <a:off x="538" y="8"/>
            <a:ext cx="186" cy="97"/>
            <a:chOff x="520" y="22"/>
            <a:chExt cx="186" cy="97"/>
          </a:xfrm>
        </xdr:grpSpPr>
        <xdr:grpSp>
          <xdr:nvGrpSpPr>
            <xdr:cNvPr id="8893" name="Group 9">
              <a:extLst>
                <a:ext uri="{FF2B5EF4-FFF2-40B4-BE49-F238E27FC236}">
                  <a16:creationId xmlns="" xmlns:a16="http://schemas.microsoft.com/office/drawing/2014/main" id="{00000000-0008-0000-0300-0000BD2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6" y="43"/>
              <a:ext cx="130" cy="76"/>
              <a:chOff x="294" y="54"/>
              <a:chExt cx="130" cy="76"/>
            </a:xfrm>
          </xdr:grpSpPr>
          <xdr:pic>
            <xdr:nvPicPr>
              <xdr:cNvPr id="8901" name="Picture 10" descr="C:\I_FILES\Office2000d2\PFiles\MSOffice\Clipart\standard\stddir2\BD08884_.WMF">
                <a:extLst>
                  <a:ext uri="{FF2B5EF4-FFF2-40B4-BE49-F238E27FC236}">
                    <a16:creationId xmlns="" xmlns:a16="http://schemas.microsoft.com/office/drawing/2014/main" id="{00000000-0008-0000-0300-0000C522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32" y="54"/>
                <a:ext cx="44" cy="3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902" name="Group 11">
                <a:extLst>
                  <a:ext uri="{FF2B5EF4-FFF2-40B4-BE49-F238E27FC236}">
                    <a16:creationId xmlns="" xmlns:a16="http://schemas.microsoft.com/office/drawing/2014/main" id="{00000000-0008-0000-0300-0000C62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94" y="59"/>
                <a:ext cx="130" cy="71"/>
                <a:chOff x="313" y="25"/>
                <a:chExt cx="130" cy="71"/>
              </a:xfrm>
            </xdr:grpSpPr>
            <xdr:pic>
              <xdr:nvPicPr>
                <xdr:cNvPr id="8903" name="Picture 12" descr="C:\I_FILES\Office2000d2\PFiles\MSOffice\Clipart\standard\stddir2\BD08879_.WMF">
                  <a:extLst>
                    <a:ext uri="{FF2B5EF4-FFF2-40B4-BE49-F238E27FC236}">
                      <a16:creationId xmlns="" xmlns:a16="http://schemas.microsoft.com/office/drawing/2014/main" id="{00000000-0008-0000-0300-0000C7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13" y="54"/>
                  <a:ext cx="68" cy="4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904" name="Picture 13" descr="C:\I_FILES\Office2000d2\PFiles\MSOffice\Clipart\standard\stddir2\BD08886_.WMF">
                  <a:extLst>
                    <a:ext uri="{FF2B5EF4-FFF2-40B4-BE49-F238E27FC236}">
                      <a16:creationId xmlns="" xmlns:a16="http://schemas.microsoft.com/office/drawing/2014/main" id="{00000000-0008-0000-0300-0000C8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92" y="25"/>
                  <a:ext cx="37" cy="4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905" name="Picture 14" descr="C:\I_FILES\Office2000d2\PFiles\MSOffice\Clipart\standard\stddir2\BD08887_.WMF">
                  <a:extLst>
                    <a:ext uri="{FF2B5EF4-FFF2-40B4-BE49-F238E27FC236}">
                      <a16:creationId xmlns="" xmlns:a16="http://schemas.microsoft.com/office/drawing/2014/main" id="{00000000-0008-0000-0300-0000C9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90" y="57"/>
                  <a:ext cx="53" cy="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906" name="Picture 15" descr="C:\I_FILES\Office2000d2\PFiles\MSOffice\Clipart\standard\stddir2\BD08888_.WMF">
                  <a:extLst>
                    <a:ext uri="{FF2B5EF4-FFF2-40B4-BE49-F238E27FC236}">
                      <a16:creationId xmlns="" xmlns:a16="http://schemas.microsoft.com/office/drawing/2014/main" id="{00000000-0008-0000-0300-0000CA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54" y="45"/>
                  <a:ext cx="52" cy="4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</xdr:grpSp>
        </xdr:grpSp>
        <xdr:grpSp>
          <xdr:nvGrpSpPr>
            <xdr:cNvPr id="8894" name="Group 8">
              <a:extLst>
                <a:ext uri="{FF2B5EF4-FFF2-40B4-BE49-F238E27FC236}">
                  <a16:creationId xmlns="" xmlns:a16="http://schemas.microsoft.com/office/drawing/2014/main" id="{00000000-0008-0000-0300-0000BE2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0" y="22"/>
              <a:ext cx="130" cy="76"/>
              <a:chOff x="294" y="54"/>
              <a:chExt cx="130" cy="76"/>
            </a:xfrm>
          </xdr:grpSpPr>
          <xdr:pic>
            <xdr:nvPicPr>
              <xdr:cNvPr id="8895" name="Picture 4" descr="C:\I_FILES\Office2000d2\PFiles\MSOffice\Clipart\standard\stddir2\BD08884_.WMF">
                <a:extLst>
                  <a:ext uri="{FF2B5EF4-FFF2-40B4-BE49-F238E27FC236}">
                    <a16:creationId xmlns="" xmlns:a16="http://schemas.microsoft.com/office/drawing/2014/main" id="{00000000-0008-0000-0300-0000BF22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32" y="54"/>
                <a:ext cx="44" cy="3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896" name="Group 7">
                <a:extLst>
                  <a:ext uri="{FF2B5EF4-FFF2-40B4-BE49-F238E27FC236}">
                    <a16:creationId xmlns="" xmlns:a16="http://schemas.microsoft.com/office/drawing/2014/main" id="{00000000-0008-0000-0300-0000C02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94" y="59"/>
                <a:ext cx="130" cy="71"/>
                <a:chOff x="313" y="25"/>
                <a:chExt cx="130" cy="71"/>
              </a:xfrm>
            </xdr:grpSpPr>
            <xdr:pic>
              <xdr:nvPicPr>
                <xdr:cNvPr id="8897" name="Picture 1" descr="C:\I_FILES\Office2000d2\PFiles\MSOffice\Clipart\standard\stddir2\BD08879_.WMF">
                  <a:extLst>
                    <a:ext uri="{FF2B5EF4-FFF2-40B4-BE49-F238E27FC236}">
                      <a16:creationId xmlns="" xmlns:a16="http://schemas.microsoft.com/office/drawing/2014/main" id="{00000000-0008-0000-0300-0000C1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13" y="54"/>
                  <a:ext cx="68" cy="4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898" name="Picture 3" descr="C:\I_FILES\Office2000d2\PFiles\MSOffice\Clipart\standard\stddir2\BD08886_.WMF">
                  <a:extLst>
                    <a:ext uri="{FF2B5EF4-FFF2-40B4-BE49-F238E27FC236}">
                      <a16:creationId xmlns="" xmlns:a16="http://schemas.microsoft.com/office/drawing/2014/main" id="{00000000-0008-0000-0300-0000C2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92" y="25"/>
                  <a:ext cx="37" cy="4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899" name="Picture 5" descr="C:\I_FILES\Office2000d2\PFiles\MSOffice\Clipart\standard\stddir2\BD08887_.WMF">
                  <a:extLst>
                    <a:ext uri="{FF2B5EF4-FFF2-40B4-BE49-F238E27FC236}">
                      <a16:creationId xmlns="" xmlns:a16="http://schemas.microsoft.com/office/drawing/2014/main" id="{00000000-0008-0000-0300-0000C3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90" y="57"/>
                  <a:ext cx="53" cy="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pic>
              <xdr:nvPicPr>
                <xdr:cNvPr id="8900" name="Picture 6" descr="C:\I_FILES\Office2000d2\PFiles\MSOffice\Clipart\standard\stddir2\BD08888_.WMF">
                  <a:extLst>
                    <a:ext uri="{FF2B5EF4-FFF2-40B4-BE49-F238E27FC236}">
                      <a16:creationId xmlns="" xmlns:a16="http://schemas.microsoft.com/office/drawing/2014/main" id="{00000000-0008-0000-0300-0000C422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54" y="45"/>
                  <a:ext cx="52" cy="4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</xdr:grpSp>
        </xdr:grpSp>
      </xdr:grpSp>
      <xdr:sp macro="" textlink="">
        <xdr:nvSpPr>
          <xdr:cNvPr id="8892" name="AutoShape 18" descr="Contorno de losango">
            <a:extLst>
              <a:ext uri="{FF2B5EF4-FFF2-40B4-BE49-F238E27FC236}">
                <a16:creationId xmlns="" xmlns:a16="http://schemas.microsoft.com/office/drawing/2014/main" id="{00000000-0008-0000-0300-0000BC220000}"/>
              </a:ext>
            </a:extLst>
          </xdr:cNvPr>
          <xdr:cNvSpPr>
            <a:spLocks noChangeArrowheads="1"/>
          </xdr:cNvSpPr>
        </xdr:nvSpPr>
        <xdr:spPr bwMode="auto">
          <a:xfrm rot="-4876188">
            <a:off x="606" y="2"/>
            <a:ext cx="36" cy="191"/>
          </a:xfrm>
          <a:prstGeom prst="moon">
            <a:avLst>
              <a:gd name="adj" fmla="val 50000"/>
            </a:avLst>
          </a:prstGeom>
          <a:pattFill prst="openDmnd">
            <a:fgClr>
              <a:srgbClr val="800000"/>
            </a:fgClr>
            <a:bgClr>
              <a:srgbClr val="FFFFFF"/>
            </a:bgClr>
          </a:pattFill>
          <a:ln w="38100">
            <a:solidFill>
              <a:srgbClr val="9933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M26"/>
  <sheetViews>
    <sheetView workbookViewId="0">
      <selection activeCell="F6" sqref="F6"/>
    </sheetView>
  </sheetViews>
  <sheetFormatPr defaultRowHeight="12.75" x14ac:dyDescent="0.2"/>
  <cols>
    <col min="1" max="1" width="41.85546875" bestFit="1" customWidth="1"/>
    <col min="2" max="2" width="10.5703125" customWidth="1"/>
    <col min="3" max="3" width="10.140625" bestFit="1" customWidth="1"/>
    <col min="4" max="4" width="15.5703125" bestFit="1" customWidth="1"/>
  </cols>
  <sheetData>
    <row r="1" spans="1:7" ht="15.75" x14ac:dyDescent="0.25">
      <c r="A1" s="2" t="s">
        <v>9</v>
      </c>
    </row>
    <row r="2" spans="1:7" x14ac:dyDescent="0.2">
      <c r="A2" s="1" t="s">
        <v>10</v>
      </c>
    </row>
    <row r="3" spans="1:7" x14ac:dyDescent="0.2">
      <c r="A3" s="1"/>
      <c r="D3" s="10" t="s">
        <v>23</v>
      </c>
      <c r="E3" s="11" t="s">
        <v>60</v>
      </c>
      <c r="F3" s="6" t="s">
        <v>57</v>
      </c>
    </row>
    <row r="4" spans="1:7" x14ac:dyDescent="0.2">
      <c r="A4" s="1" t="s">
        <v>0</v>
      </c>
      <c r="B4" s="1" t="s">
        <v>1</v>
      </c>
      <c r="C4" s="5" t="s">
        <v>2</v>
      </c>
      <c r="D4" s="1" t="s">
        <v>3</v>
      </c>
      <c r="E4" s="1" t="s">
        <v>4</v>
      </c>
      <c r="F4" s="6" t="s">
        <v>171</v>
      </c>
    </row>
    <row r="5" spans="1:7" x14ac:dyDescent="0.2">
      <c r="A5" t="s">
        <v>11</v>
      </c>
      <c r="B5" s="4"/>
      <c r="C5" s="4">
        <f t="shared" ref="C5:C10" si="0">B5*0.1</f>
        <v>0</v>
      </c>
      <c r="D5" s="4">
        <f t="shared" ref="D5:D10" si="1">IF(B5&gt;=650,B5*15%,B5*10%)</f>
        <v>0</v>
      </c>
      <c r="E5" s="17" t="s">
        <v>62</v>
      </c>
      <c r="G5" s="6" t="s">
        <v>22</v>
      </c>
    </row>
    <row r="6" spans="1:7" x14ac:dyDescent="0.2">
      <c r="A6" t="s">
        <v>12</v>
      </c>
      <c r="B6" s="4">
        <v>2351.23</v>
      </c>
      <c r="C6" s="4">
        <f t="shared" si="0"/>
        <v>235.12300000000002</v>
      </c>
      <c r="D6" s="4">
        <f>IF(B6&gt;=650,B6*15%,B6*10%)</f>
        <v>352.68450000000001</v>
      </c>
      <c r="E6" s="17">
        <f>B6-C6-D6</f>
        <v>1763.4224999999999</v>
      </c>
      <c r="F6" s="77"/>
      <c r="G6" t="s">
        <v>22</v>
      </c>
    </row>
    <row r="7" spans="1:7" x14ac:dyDescent="0.2">
      <c r="A7" t="s">
        <v>13</v>
      </c>
      <c r="B7" s="4">
        <v>56</v>
      </c>
      <c r="C7" s="4">
        <f t="shared" si="0"/>
        <v>5.6000000000000005</v>
      </c>
      <c r="D7" s="4">
        <f t="shared" si="1"/>
        <v>5.6000000000000005</v>
      </c>
      <c r="E7" s="17">
        <f t="shared" ref="E7:E10" si="2">B7-C7-D7</f>
        <v>44.8</v>
      </c>
    </row>
    <row r="8" spans="1:7" x14ac:dyDescent="0.2">
      <c r="A8" t="s">
        <v>14</v>
      </c>
      <c r="B8" s="4">
        <v>540</v>
      </c>
      <c r="C8" s="4">
        <f t="shared" si="0"/>
        <v>54</v>
      </c>
      <c r="D8" s="4">
        <f t="shared" si="1"/>
        <v>54</v>
      </c>
      <c r="E8" s="17">
        <f t="shared" si="2"/>
        <v>432</v>
      </c>
      <c r="G8" t="s">
        <v>22</v>
      </c>
    </row>
    <row r="9" spans="1:7" x14ac:dyDescent="0.2">
      <c r="A9" t="s">
        <v>15</v>
      </c>
      <c r="B9" s="4">
        <v>650</v>
      </c>
      <c r="C9" s="4">
        <f t="shared" si="0"/>
        <v>65</v>
      </c>
      <c r="D9" s="4">
        <f t="shared" si="1"/>
        <v>97.5</v>
      </c>
      <c r="E9" s="17">
        <f t="shared" si="2"/>
        <v>487.5</v>
      </c>
    </row>
    <row r="10" spans="1:7" x14ac:dyDescent="0.2">
      <c r="A10" t="s">
        <v>16</v>
      </c>
      <c r="B10" s="8">
        <v>560</v>
      </c>
      <c r="C10" s="4">
        <f t="shared" si="0"/>
        <v>56</v>
      </c>
      <c r="D10" s="4">
        <f t="shared" si="1"/>
        <v>56</v>
      </c>
      <c r="E10" s="17">
        <f t="shared" si="2"/>
        <v>448</v>
      </c>
    </row>
    <row r="11" spans="1:7" x14ac:dyDescent="0.2">
      <c r="B11" s="8"/>
      <c r="C11" s="3"/>
      <c r="D11" s="4"/>
    </row>
    <row r="12" spans="1:7" x14ac:dyDescent="0.2">
      <c r="A12" s="1" t="s">
        <v>5</v>
      </c>
      <c r="B12" s="17">
        <f>LARGE(E6:E10,1)</f>
        <v>1763.4224999999999</v>
      </c>
      <c r="C12" s="86" t="s">
        <v>61</v>
      </c>
      <c r="D12" s="87"/>
      <c r="E12" s="87"/>
      <c r="F12" s="87"/>
      <c r="G12" s="88"/>
    </row>
    <row r="13" spans="1:7" x14ac:dyDescent="0.2">
      <c r="A13" s="1" t="s">
        <v>6</v>
      </c>
      <c r="B13" s="17">
        <f>SMALL(E6:E10,1)</f>
        <v>44.8</v>
      </c>
      <c r="C13" s="89"/>
      <c r="D13" s="90"/>
      <c r="E13" s="90"/>
      <c r="F13" s="90"/>
      <c r="G13" s="91"/>
    </row>
    <row r="14" spans="1:7" x14ac:dyDescent="0.2">
      <c r="A14" s="1" t="s">
        <v>7</v>
      </c>
      <c r="B14" s="17">
        <f>SUM(E6:E10)</f>
        <v>3175.7224999999999</v>
      </c>
      <c r="C14" s="89"/>
      <c r="D14" s="90"/>
      <c r="E14" s="90"/>
      <c r="F14" s="90"/>
      <c r="G14" s="91"/>
    </row>
    <row r="15" spans="1:7" x14ac:dyDescent="0.2">
      <c r="A15" s="1" t="s">
        <v>8</v>
      </c>
      <c r="B15" s="17">
        <f>AVERAGE(E6:E10)</f>
        <v>635.14449999999999</v>
      </c>
      <c r="C15" s="89"/>
      <c r="D15" s="90"/>
      <c r="E15" s="90"/>
      <c r="F15" s="90"/>
      <c r="G15" s="91"/>
    </row>
    <row r="16" spans="1:7" x14ac:dyDescent="0.2">
      <c r="A16" s="1" t="s">
        <v>58</v>
      </c>
      <c r="B16" s="17">
        <f>COUNT(E6:E10)</f>
        <v>5</v>
      </c>
      <c r="C16" s="92" t="s">
        <v>168</v>
      </c>
      <c r="D16" s="93"/>
      <c r="E16" s="93"/>
      <c r="F16" s="93"/>
      <c r="G16" s="94"/>
    </row>
    <row r="18" spans="6:13" x14ac:dyDescent="0.2">
      <c r="F18" s="6" t="s">
        <v>172</v>
      </c>
    </row>
    <row r="19" spans="6:13" x14ac:dyDescent="0.2">
      <c r="F19" s="6"/>
      <c r="G19" s="11" t="s">
        <v>181</v>
      </c>
      <c r="H19" s="11"/>
      <c r="I19" s="11"/>
      <c r="J19" s="11"/>
      <c r="K19" s="11"/>
      <c r="L19" s="11"/>
    </row>
    <row r="20" spans="6:13" x14ac:dyDescent="0.2">
      <c r="G20" s="11" t="s">
        <v>59</v>
      </c>
      <c r="H20" s="11"/>
      <c r="I20" s="11"/>
      <c r="J20" s="11"/>
      <c r="K20" s="11"/>
      <c r="L20" s="11"/>
    </row>
    <row r="21" spans="6:13" x14ac:dyDescent="0.2">
      <c r="H21" s="11"/>
      <c r="I21" s="11"/>
      <c r="J21" s="11"/>
      <c r="K21" s="11"/>
      <c r="L21" s="11"/>
      <c r="M21" t="s">
        <v>22</v>
      </c>
    </row>
    <row r="22" spans="6:13" x14ac:dyDescent="0.2">
      <c r="G22" s="11" t="s">
        <v>180</v>
      </c>
    </row>
    <row r="23" spans="6:13" x14ac:dyDescent="0.2">
      <c r="G23" s="11"/>
    </row>
    <row r="24" spans="6:13" x14ac:dyDescent="0.2">
      <c r="F24" s="6" t="s">
        <v>173</v>
      </c>
    </row>
    <row r="25" spans="6:13" x14ac:dyDescent="0.2">
      <c r="G25" s="7" t="s">
        <v>22</v>
      </c>
    </row>
    <row r="26" spans="6:13" x14ac:dyDescent="0.2">
      <c r="F26" s="6" t="s">
        <v>174</v>
      </c>
      <c r="G26" s="7"/>
      <c r="H26" s="7"/>
    </row>
  </sheetData>
  <mergeCells count="2">
    <mergeCell ref="C12:G15"/>
    <mergeCell ref="C16:G16"/>
  </mergeCells>
  <pageMargins left="0.78740157499999996" right="0.78740157499999996" top="0.984251969" bottom="0.984251969" header="0.49212598499999999" footer="0.49212598499999999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P18"/>
  <sheetViews>
    <sheetView workbookViewId="0">
      <selection activeCell="E13" sqref="E13"/>
    </sheetView>
  </sheetViews>
  <sheetFormatPr defaultRowHeight="12.75" x14ac:dyDescent="0.2"/>
  <cols>
    <col min="1" max="1" width="23.42578125" bestFit="1" customWidth="1"/>
    <col min="2" max="2" width="11.5703125" bestFit="1" customWidth="1"/>
    <col min="3" max="3" width="10.140625" bestFit="1" customWidth="1"/>
    <col min="4" max="4" width="15.5703125" bestFit="1" customWidth="1"/>
  </cols>
  <sheetData>
    <row r="1" spans="1:16" ht="15.75" x14ac:dyDescent="0.25">
      <c r="A1" s="2" t="s">
        <v>21</v>
      </c>
    </row>
    <row r="2" spans="1:16" x14ac:dyDescent="0.2">
      <c r="A2" s="1" t="s">
        <v>20</v>
      </c>
    </row>
    <row r="3" spans="1:16" x14ac:dyDescent="0.2">
      <c r="A3" s="1"/>
    </row>
    <row r="4" spans="1:16" x14ac:dyDescent="0.2">
      <c r="A4" s="1" t="s">
        <v>63</v>
      </c>
      <c r="B4">
        <v>50</v>
      </c>
    </row>
    <row r="5" spans="1:16" x14ac:dyDescent="0.2">
      <c r="A5" s="1" t="s">
        <v>64</v>
      </c>
      <c r="B5">
        <v>75</v>
      </c>
    </row>
    <row r="6" spans="1:16" x14ac:dyDescent="0.2">
      <c r="A6" s="1"/>
    </row>
    <row r="7" spans="1:16" x14ac:dyDescent="0.2">
      <c r="A7" s="1" t="s">
        <v>0</v>
      </c>
      <c r="B7" s="1" t="s">
        <v>17</v>
      </c>
      <c r="C7" s="5" t="s">
        <v>18</v>
      </c>
      <c r="D7" s="1" t="s">
        <v>19</v>
      </c>
      <c r="E7" s="1"/>
      <c r="F7" s="1"/>
      <c r="G7" s="77"/>
    </row>
    <row r="8" spans="1:16" x14ac:dyDescent="0.2">
      <c r="A8" s="7" t="s">
        <v>11</v>
      </c>
      <c r="B8" s="4">
        <v>40</v>
      </c>
      <c r="C8" s="4">
        <v>12.5</v>
      </c>
      <c r="D8" s="17">
        <f>B8*B$4+C8*B$5</f>
        <v>2937.5</v>
      </c>
      <c r="E8" s="4"/>
    </row>
    <row r="9" spans="1:16" x14ac:dyDescent="0.2">
      <c r="A9" s="7" t="s">
        <v>12</v>
      </c>
      <c r="B9" s="4">
        <v>30</v>
      </c>
      <c r="C9" s="4">
        <v>10</v>
      </c>
      <c r="D9" s="17">
        <f t="shared" ref="D9:D13" si="0">B9*B$4+C9*B$5</f>
        <v>2250</v>
      </c>
      <c r="E9" s="4"/>
      <c r="F9" s="11" t="s">
        <v>22</v>
      </c>
    </row>
    <row r="10" spans="1:16" ht="12.75" customHeight="1" x14ac:dyDescent="0.2">
      <c r="A10" s="7" t="s">
        <v>13</v>
      </c>
      <c r="B10" s="4">
        <v>37.5</v>
      </c>
      <c r="C10" s="4">
        <v>22</v>
      </c>
      <c r="D10" s="17">
        <f t="shared" si="0"/>
        <v>3525</v>
      </c>
      <c r="E10" s="95"/>
      <c r="F10" s="96" t="s">
        <v>65</v>
      </c>
      <c r="G10" s="96"/>
      <c r="H10" s="96"/>
      <c r="I10" s="96"/>
      <c r="J10" s="96"/>
      <c r="K10" s="96"/>
      <c r="L10" s="96"/>
      <c r="M10" s="96"/>
      <c r="N10" s="96"/>
      <c r="O10" s="96"/>
      <c r="P10" s="96"/>
    </row>
    <row r="11" spans="1:16" x14ac:dyDescent="0.2">
      <c r="A11" s="7" t="s">
        <v>14</v>
      </c>
      <c r="B11" s="4">
        <v>40</v>
      </c>
      <c r="C11" s="4">
        <v>23</v>
      </c>
      <c r="D11" s="17">
        <f t="shared" si="0"/>
        <v>3725</v>
      </c>
      <c r="E11" s="95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</row>
    <row r="12" spans="1:16" x14ac:dyDescent="0.2">
      <c r="A12" s="7" t="s">
        <v>15</v>
      </c>
      <c r="B12" s="4">
        <v>35.5</v>
      </c>
      <c r="C12" s="4">
        <v>25</v>
      </c>
      <c r="D12" s="17">
        <f t="shared" si="0"/>
        <v>3650</v>
      </c>
      <c r="E12" s="4"/>
    </row>
    <row r="13" spans="1:16" x14ac:dyDescent="0.2">
      <c r="A13" s="7" t="s">
        <v>16</v>
      </c>
      <c r="B13" s="4">
        <v>30</v>
      </c>
      <c r="C13" s="4">
        <v>15.5</v>
      </c>
      <c r="D13" s="17">
        <f t="shared" si="0"/>
        <v>2662.5</v>
      </c>
      <c r="E13" s="4"/>
    </row>
    <row r="14" spans="1:16" x14ac:dyDescent="0.2">
      <c r="A14" s="7" t="s">
        <v>22</v>
      </c>
      <c r="B14" s="3"/>
      <c r="C14" s="3"/>
      <c r="D14" s="4"/>
    </row>
    <row r="15" spans="1:16" x14ac:dyDescent="0.2">
      <c r="A15" s="1"/>
      <c r="B15" s="4"/>
      <c r="C15" s="3"/>
      <c r="D15" s="4"/>
    </row>
    <row r="16" spans="1:16" x14ac:dyDescent="0.2">
      <c r="A16" s="1"/>
      <c r="B16" s="4"/>
    </row>
    <row r="17" spans="1:2" x14ac:dyDescent="0.2">
      <c r="A17" s="1"/>
      <c r="B17" s="4"/>
    </row>
    <row r="18" spans="1:2" x14ac:dyDescent="0.2">
      <c r="A18" s="1"/>
      <c r="B18" s="4"/>
    </row>
  </sheetData>
  <mergeCells count="2">
    <mergeCell ref="E10:E11"/>
    <mergeCell ref="F10:P11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K30"/>
  <sheetViews>
    <sheetView topLeftCell="A7" workbookViewId="0">
      <selection activeCell="G9" sqref="G9"/>
    </sheetView>
  </sheetViews>
  <sheetFormatPr defaultRowHeight="12.75" x14ac:dyDescent="0.2"/>
  <cols>
    <col min="1" max="1" width="11.7109375" customWidth="1"/>
    <col min="2" max="2" width="12.28515625" customWidth="1"/>
    <col min="3" max="3" width="11.28515625" customWidth="1"/>
    <col min="4" max="4" width="12.5703125" customWidth="1"/>
    <col min="5" max="5" width="13" customWidth="1"/>
    <col min="6" max="6" width="13.28515625" customWidth="1"/>
    <col min="7" max="7" width="15.85546875" customWidth="1"/>
  </cols>
  <sheetData>
    <row r="1" spans="1:11" ht="16.5" thickBot="1" x14ac:dyDescent="0.3">
      <c r="A1" s="59" t="s">
        <v>169</v>
      </c>
      <c r="B1" s="60"/>
      <c r="C1" s="60"/>
      <c r="D1" s="60"/>
      <c r="E1" s="60"/>
      <c r="F1" s="60"/>
      <c r="G1" s="61"/>
    </row>
    <row r="2" spans="1:11" ht="21.75" thickTop="1" thickBot="1" x14ac:dyDescent="0.35">
      <c r="A2" s="62" t="s">
        <v>130</v>
      </c>
      <c r="B2" s="18"/>
      <c r="C2" s="18"/>
      <c r="D2" s="18"/>
      <c r="E2" s="18"/>
      <c r="F2" s="18"/>
      <c r="G2" s="63"/>
    </row>
    <row r="3" spans="1:11" ht="14.25" thickTop="1" thickBot="1" x14ac:dyDescent="0.25">
      <c r="A3" s="97"/>
      <c r="B3" s="98"/>
      <c r="C3" s="98"/>
      <c r="D3" s="98"/>
      <c r="E3" s="98"/>
      <c r="F3" s="98"/>
      <c r="G3" s="99"/>
    </row>
    <row r="4" spans="1:11" ht="13.5" thickTop="1" x14ac:dyDescent="0.2">
      <c r="A4" s="64" t="s">
        <v>131</v>
      </c>
      <c r="B4" s="19"/>
      <c r="C4" s="19"/>
      <c r="D4" s="19"/>
      <c r="E4" s="20"/>
      <c r="F4" s="21" t="s">
        <v>87</v>
      </c>
      <c r="G4" s="65"/>
    </row>
    <row r="5" spans="1:11" ht="13.5" thickBot="1" x14ac:dyDescent="0.25">
      <c r="A5" s="66" t="s">
        <v>88</v>
      </c>
      <c r="B5" s="22"/>
      <c r="C5" s="22"/>
      <c r="D5" s="22"/>
      <c r="E5" s="23"/>
      <c r="F5" s="24" t="s">
        <v>89</v>
      </c>
      <c r="G5" s="67"/>
    </row>
    <row r="6" spans="1:11" ht="26.25" thickTop="1" x14ac:dyDescent="0.2">
      <c r="A6" s="100"/>
      <c r="B6" s="101"/>
      <c r="C6" s="101"/>
      <c r="D6" s="101"/>
      <c r="E6" s="102"/>
      <c r="F6" s="25" t="s">
        <v>90</v>
      </c>
      <c r="G6" s="68">
        <v>2</v>
      </c>
    </row>
    <row r="7" spans="1:11" ht="26.25" thickBot="1" x14ac:dyDescent="0.25">
      <c r="A7" s="103"/>
      <c r="B7" s="104"/>
      <c r="C7" s="104"/>
      <c r="D7" s="104"/>
      <c r="E7" s="105"/>
      <c r="F7" s="26" t="s">
        <v>91</v>
      </c>
      <c r="G7" s="69">
        <v>1</v>
      </c>
    </row>
    <row r="8" spans="1:11" ht="27" thickTop="1" thickBot="1" x14ac:dyDescent="0.25">
      <c r="A8" s="70" t="s">
        <v>92</v>
      </c>
      <c r="B8" s="27" t="s">
        <v>93</v>
      </c>
      <c r="C8" s="27"/>
      <c r="D8" s="28" t="s">
        <v>94</v>
      </c>
      <c r="E8" s="28" t="s">
        <v>95</v>
      </c>
      <c r="F8" s="28" t="s">
        <v>96</v>
      </c>
      <c r="G8" s="71" t="s">
        <v>97</v>
      </c>
      <c r="H8" s="29"/>
      <c r="I8" s="29"/>
      <c r="J8" s="29"/>
      <c r="K8" s="29"/>
    </row>
    <row r="9" spans="1:11" ht="13.5" thickTop="1" x14ac:dyDescent="0.2">
      <c r="A9" s="72" t="s">
        <v>116</v>
      </c>
      <c r="B9" s="30" t="s">
        <v>117</v>
      </c>
      <c r="C9" s="30"/>
      <c r="D9" s="31">
        <v>6.5</v>
      </c>
      <c r="E9" s="31">
        <v>8</v>
      </c>
      <c r="F9" s="58">
        <f>((D9*$G$6)+(E9*$G$7))/($G$6+$G$7)</f>
        <v>7</v>
      </c>
      <c r="G9" s="73" t="str">
        <f>IF(F9&gt;=7,"Aprovado","Reprovado")</f>
        <v>Aprovado</v>
      </c>
      <c r="J9" t="s">
        <v>22</v>
      </c>
    </row>
    <row r="10" spans="1:11" x14ac:dyDescent="0.2">
      <c r="A10" s="72" t="s">
        <v>106</v>
      </c>
      <c r="B10" s="30" t="s">
        <v>107</v>
      </c>
      <c r="C10" s="30"/>
      <c r="D10" s="31">
        <v>9</v>
      </c>
      <c r="E10" s="31">
        <v>9</v>
      </c>
      <c r="F10" s="58">
        <f t="shared" ref="F10:F21" si="0">((D10*$G$6)+(E10*$G$7))/($G$6+$G$7)</f>
        <v>9</v>
      </c>
      <c r="G10" s="73" t="str">
        <f t="shared" ref="G10:G21" si="1">IF(F10&gt;=7,"Aprovado","Reprovado")</f>
        <v>Aprovado</v>
      </c>
    </row>
    <row r="11" spans="1:11" x14ac:dyDescent="0.2">
      <c r="A11" s="72" t="s">
        <v>108</v>
      </c>
      <c r="B11" s="30" t="s">
        <v>109</v>
      </c>
      <c r="C11" s="30"/>
      <c r="D11" s="31">
        <v>9</v>
      </c>
      <c r="E11" s="31">
        <v>9</v>
      </c>
      <c r="F11" s="58">
        <f t="shared" si="0"/>
        <v>9</v>
      </c>
      <c r="G11" s="73" t="str">
        <f t="shared" si="1"/>
        <v>Aprovado</v>
      </c>
    </row>
    <row r="12" spans="1:11" x14ac:dyDescent="0.2">
      <c r="A12" s="72" t="s">
        <v>118</v>
      </c>
      <c r="B12" s="30" t="s">
        <v>119</v>
      </c>
      <c r="C12" s="30"/>
      <c r="D12" s="31">
        <v>7</v>
      </c>
      <c r="E12" s="31">
        <v>7</v>
      </c>
      <c r="F12" s="58">
        <f t="shared" si="0"/>
        <v>7</v>
      </c>
      <c r="G12" s="73" t="str">
        <f t="shared" si="1"/>
        <v>Aprovado</v>
      </c>
    </row>
    <row r="13" spans="1:11" x14ac:dyDescent="0.2">
      <c r="A13" s="72" t="s">
        <v>122</v>
      </c>
      <c r="B13" s="30" t="s">
        <v>123</v>
      </c>
      <c r="C13" s="30"/>
      <c r="D13" s="31">
        <v>8</v>
      </c>
      <c r="E13" s="31">
        <v>7</v>
      </c>
      <c r="F13" s="58">
        <f t="shared" si="0"/>
        <v>7.666666666666667</v>
      </c>
      <c r="G13" s="73" t="str">
        <f t="shared" si="1"/>
        <v>Aprovado</v>
      </c>
    </row>
    <row r="14" spans="1:11" x14ac:dyDescent="0.2">
      <c r="A14" s="72" t="s">
        <v>104</v>
      </c>
      <c r="B14" s="30" t="s">
        <v>105</v>
      </c>
      <c r="C14" s="30"/>
      <c r="D14" s="31">
        <v>3.5</v>
      </c>
      <c r="E14" s="31">
        <v>4</v>
      </c>
      <c r="F14" s="58">
        <f t="shared" si="0"/>
        <v>3.6666666666666665</v>
      </c>
      <c r="G14" s="73" t="str">
        <f t="shared" si="1"/>
        <v>Reprovado</v>
      </c>
    </row>
    <row r="15" spans="1:11" x14ac:dyDescent="0.2">
      <c r="A15" s="72" t="s">
        <v>114</v>
      </c>
      <c r="B15" s="30" t="s">
        <v>115</v>
      </c>
      <c r="C15" s="30"/>
      <c r="D15" s="31">
        <v>6.5</v>
      </c>
      <c r="E15" s="31">
        <v>6</v>
      </c>
      <c r="F15" s="58">
        <f t="shared" si="0"/>
        <v>6.333333333333333</v>
      </c>
      <c r="G15" s="73" t="str">
        <f t="shared" si="1"/>
        <v>Reprovado</v>
      </c>
    </row>
    <row r="16" spans="1:11" x14ac:dyDescent="0.2">
      <c r="A16" s="72" t="s">
        <v>112</v>
      </c>
      <c r="B16" s="30" t="s">
        <v>113</v>
      </c>
      <c r="C16" s="30"/>
      <c r="D16" s="31">
        <v>7</v>
      </c>
      <c r="E16" s="31">
        <v>7</v>
      </c>
      <c r="F16" s="58">
        <f t="shared" si="0"/>
        <v>7</v>
      </c>
      <c r="G16" s="73" t="str">
        <f t="shared" si="1"/>
        <v>Aprovado</v>
      </c>
    </row>
    <row r="17" spans="1:10" x14ac:dyDescent="0.2">
      <c r="A17" s="72" t="s">
        <v>110</v>
      </c>
      <c r="B17" s="30" t="s">
        <v>111</v>
      </c>
      <c r="C17" s="30"/>
      <c r="D17" s="31">
        <v>7</v>
      </c>
      <c r="E17" s="31">
        <v>7</v>
      </c>
      <c r="F17" s="58">
        <f t="shared" si="0"/>
        <v>7</v>
      </c>
      <c r="G17" s="73" t="str">
        <f t="shared" si="1"/>
        <v>Aprovado</v>
      </c>
    </row>
    <row r="18" spans="1:10" x14ac:dyDescent="0.2">
      <c r="A18" s="72" t="s">
        <v>120</v>
      </c>
      <c r="B18" s="30" t="s">
        <v>121</v>
      </c>
      <c r="C18" s="30"/>
      <c r="D18" s="31">
        <v>7</v>
      </c>
      <c r="E18" s="31">
        <v>8</v>
      </c>
      <c r="F18" s="58">
        <f t="shared" si="0"/>
        <v>7.333333333333333</v>
      </c>
      <c r="G18" s="73" t="str">
        <f t="shared" si="1"/>
        <v>Aprovado</v>
      </c>
    </row>
    <row r="19" spans="1:10" x14ac:dyDescent="0.2">
      <c r="A19" s="72" t="s">
        <v>98</v>
      </c>
      <c r="B19" s="30" t="s">
        <v>99</v>
      </c>
      <c r="C19" s="30"/>
      <c r="D19" s="31">
        <v>7</v>
      </c>
      <c r="E19" s="31">
        <v>6.5</v>
      </c>
      <c r="F19" s="58">
        <f t="shared" si="0"/>
        <v>6.833333333333333</v>
      </c>
      <c r="G19" s="73" t="str">
        <f t="shared" si="1"/>
        <v>Reprovado</v>
      </c>
    </row>
    <row r="20" spans="1:10" x14ac:dyDescent="0.2">
      <c r="A20" s="72" t="s">
        <v>100</v>
      </c>
      <c r="B20" s="30" t="s">
        <v>101</v>
      </c>
      <c r="C20" s="30"/>
      <c r="D20" s="31">
        <v>6.5</v>
      </c>
      <c r="E20" s="31">
        <v>7.5</v>
      </c>
      <c r="F20" s="58">
        <f t="shared" si="0"/>
        <v>6.833333333333333</v>
      </c>
      <c r="G20" s="73" t="str">
        <f t="shared" si="1"/>
        <v>Reprovado</v>
      </c>
    </row>
    <row r="21" spans="1:10" ht="13.5" thickBot="1" x14ac:dyDescent="0.25">
      <c r="A21" s="74" t="s">
        <v>102</v>
      </c>
      <c r="B21" s="75" t="s">
        <v>103</v>
      </c>
      <c r="C21" s="75"/>
      <c r="D21" s="76">
        <v>4</v>
      </c>
      <c r="E21" s="76">
        <v>5</v>
      </c>
      <c r="F21" s="58">
        <f t="shared" si="0"/>
        <v>4.333333333333333</v>
      </c>
      <c r="G21" s="73" t="str">
        <f t="shared" si="1"/>
        <v>Reprovado</v>
      </c>
    </row>
    <row r="23" spans="1:10" x14ac:dyDescent="0.2">
      <c r="A23" s="34" t="s">
        <v>126</v>
      </c>
    </row>
    <row r="25" spans="1:10" x14ac:dyDescent="0.2">
      <c r="B25" t="s">
        <v>127</v>
      </c>
      <c r="D25" s="32" t="s">
        <v>124</v>
      </c>
      <c r="E25" s="32"/>
      <c r="F25" s="32"/>
      <c r="G25" s="32"/>
      <c r="H25" s="32"/>
      <c r="I25" s="32"/>
      <c r="J25" s="32"/>
    </row>
    <row r="26" spans="1:10" x14ac:dyDescent="0.2">
      <c r="D26" s="33" t="s">
        <v>125</v>
      </c>
      <c r="E26" s="33"/>
      <c r="F26" s="33"/>
      <c r="G26" s="33"/>
      <c r="H26" s="33"/>
      <c r="I26" s="33"/>
      <c r="J26" s="33"/>
    </row>
    <row r="28" spans="1:10" x14ac:dyDescent="0.2">
      <c r="B28" t="s">
        <v>129</v>
      </c>
    </row>
    <row r="30" spans="1:10" x14ac:dyDescent="0.2">
      <c r="B30" t="s">
        <v>128</v>
      </c>
    </row>
  </sheetData>
  <mergeCells count="2">
    <mergeCell ref="A3:G3"/>
    <mergeCell ref="A6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J25"/>
  <sheetViews>
    <sheetView topLeftCell="A8" zoomScale="80" zoomScaleNormal="80" workbookViewId="0">
      <selection activeCell="I26" sqref="I26"/>
    </sheetView>
  </sheetViews>
  <sheetFormatPr defaultRowHeight="12.75" x14ac:dyDescent="0.2"/>
  <cols>
    <col min="1" max="1" width="3.85546875" customWidth="1"/>
    <col min="2" max="2" width="17.7109375" customWidth="1"/>
    <col min="3" max="3" width="14.42578125" customWidth="1"/>
    <col min="4" max="4" width="16.7109375" customWidth="1"/>
    <col min="5" max="5" width="10" customWidth="1"/>
    <col min="6" max="6" width="16" customWidth="1"/>
    <col min="7" max="7" width="15.42578125" customWidth="1"/>
    <col min="8" max="8" width="12" customWidth="1"/>
    <col min="9" max="9" width="17.42578125" customWidth="1"/>
    <col min="10" max="10" width="14.28515625" customWidth="1"/>
  </cols>
  <sheetData>
    <row r="1" spans="1:10" ht="16.5" hidden="1" thickBot="1" x14ac:dyDescent="0.3">
      <c r="A1" s="2" t="s">
        <v>170</v>
      </c>
    </row>
    <row r="2" spans="1:10" ht="15.75" hidden="1" thickTop="1" thickBot="1" x14ac:dyDescent="0.35">
      <c r="B2" s="106" t="s">
        <v>132</v>
      </c>
      <c r="C2" s="107"/>
      <c r="D2" s="107"/>
      <c r="E2" s="107"/>
      <c r="F2" s="35" t="s">
        <v>133</v>
      </c>
      <c r="G2" s="36"/>
      <c r="H2" s="37"/>
      <c r="I2" s="38" t="s">
        <v>134</v>
      </c>
      <c r="J2" s="39"/>
    </row>
    <row r="3" spans="1:10" ht="14.25" hidden="1" x14ac:dyDescent="0.3">
      <c r="B3" s="108"/>
      <c r="C3" s="109"/>
      <c r="D3" s="109"/>
      <c r="E3" s="109"/>
      <c r="F3" s="40"/>
      <c r="G3" s="41"/>
      <c r="H3" s="37"/>
      <c r="I3" s="37"/>
      <c r="J3" s="37"/>
    </row>
    <row r="4" spans="1:10" ht="14.25" hidden="1" x14ac:dyDescent="0.3">
      <c r="B4" s="108"/>
      <c r="C4" s="109"/>
      <c r="D4" s="109"/>
      <c r="E4" s="109"/>
      <c r="F4" s="40" t="s">
        <v>135</v>
      </c>
      <c r="G4" s="41"/>
      <c r="H4" s="37"/>
      <c r="I4" s="37"/>
      <c r="J4" s="37"/>
    </row>
    <row r="5" spans="1:10" ht="14.25" hidden="1" x14ac:dyDescent="0.3">
      <c r="B5" s="108"/>
      <c r="C5" s="109"/>
      <c r="D5" s="109"/>
      <c r="E5" s="109"/>
      <c r="F5" s="40"/>
      <c r="G5" s="41"/>
      <c r="H5" s="37"/>
      <c r="I5" s="37"/>
      <c r="J5" s="37"/>
    </row>
    <row r="6" spans="1:10" ht="15" hidden="1" thickBot="1" x14ac:dyDescent="0.35">
      <c r="B6" s="110"/>
      <c r="C6" s="111"/>
      <c r="D6" s="111"/>
      <c r="E6" s="111"/>
      <c r="F6" s="42" t="s">
        <v>136</v>
      </c>
      <c r="G6" s="43"/>
      <c r="H6" s="37"/>
      <c r="I6" s="37"/>
      <c r="J6" s="37"/>
    </row>
    <row r="7" spans="1:10" ht="14.25" hidden="1" thickTop="1" thickBot="1" x14ac:dyDescent="0.25"/>
    <row r="8" spans="1:10" s="29" customFormat="1" ht="45.75" thickBot="1" x14ac:dyDescent="0.25">
      <c r="B8" s="44" t="s">
        <v>137</v>
      </c>
      <c r="C8" s="45" t="s">
        <v>138</v>
      </c>
      <c r="D8" s="45" t="s">
        <v>139</v>
      </c>
      <c r="E8" s="45" t="s">
        <v>140</v>
      </c>
      <c r="F8" s="45" t="s">
        <v>141</v>
      </c>
      <c r="G8" s="45" t="s">
        <v>142</v>
      </c>
      <c r="H8" s="45" t="s">
        <v>143</v>
      </c>
      <c r="I8" s="45" t="s">
        <v>144</v>
      </c>
      <c r="J8" s="46" t="s">
        <v>145</v>
      </c>
    </row>
    <row r="9" spans="1:10" ht="16.5" x14ac:dyDescent="0.35">
      <c r="B9" s="47" t="s">
        <v>146</v>
      </c>
      <c r="C9" s="47" t="s">
        <v>147</v>
      </c>
      <c r="D9" s="47" t="s">
        <v>179</v>
      </c>
      <c r="E9" s="47">
        <v>2000</v>
      </c>
      <c r="F9" s="48">
        <v>5</v>
      </c>
      <c r="G9" s="57">
        <f>E9*F9</f>
        <v>10000</v>
      </c>
      <c r="H9" s="79">
        <f>IF(D9="America",G9*0.1,G9*0.2)</f>
        <v>1000</v>
      </c>
      <c r="I9" s="57">
        <f>G9+H9</f>
        <v>11000</v>
      </c>
      <c r="J9" s="80">
        <f>IF(D9="America",I9/E$25,I9/H$25)</f>
        <v>3666.6666666666665</v>
      </c>
    </row>
    <row r="10" spans="1:10" ht="16.5" x14ac:dyDescent="0.35">
      <c r="B10" s="47" t="s">
        <v>148</v>
      </c>
      <c r="C10" s="47" t="s">
        <v>149</v>
      </c>
      <c r="D10" s="47" t="s">
        <v>179</v>
      </c>
      <c r="E10" s="47">
        <v>2500</v>
      </c>
      <c r="F10" s="48">
        <v>6.5</v>
      </c>
      <c r="G10" s="57">
        <f t="shared" ref="G10:G21" si="0">E10*F10</f>
        <v>16250</v>
      </c>
      <c r="H10" s="79">
        <f t="shared" ref="H10:H21" si="1">IF(D10="America",G10*0.1,G10*0.2)</f>
        <v>1625</v>
      </c>
      <c r="I10" s="57">
        <f t="shared" ref="I10:I21" si="2">G10+H10</f>
        <v>17875</v>
      </c>
      <c r="J10" s="80">
        <f t="shared" ref="J10:J21" si="3">IF(D10="America",I10/E$25,I10/H$25)</f>
        <v>5958.333333333333</v>
      </c>
    </row>
    <row r="11" spans="1:10" ht="16.5" x14ac:dyDescent="0.35">
      <c r="B11" s="47" t="s">
        <v>150</v>
      </c>
      <c r="C11" s="47" t="s">
        <v>151</v>
      </c>
      <c r="D11" s="47" t="s">
        <v>152</v>
      </c>
      <c r="E11" s="47">
        <v>3000</v>
      </c>
      <c r="F11" s="48">
        <v>6.8</v>
      </c>
      <c r="G11" s="57">
        <f t="shared" si="0"/>
        <v>20400</v>
      </c>
      <c r="H11" s="79">
        <f t="shared" si="1"/>
        <v>4080</v>
      </c>
      <c r="I11" s="57">
        <f t="shared" si="2"/>
        <v>24480</v>
      </c>
      <c r="J11" s="80">
        <f t="shared" si="3"/>
        <v>12240</v>
      </c>
    </row>
    <row r="12" spans="1:10" ht="16.5" x14ac:dyDescent="0.35">
      <c r="B12" s="47" t="s">
        <v>153</v>
      </c>
      <c r="C12" s="47" t="s">
        <v>154</v>
      </c>
      <c r="D12" s="47" t="s">
        <v>152</v>
      </c>
      <c r="E12" s="47">
        <v>2000</v>
      </c>
      <c r="F12" s="48">
        <v>6</v>
      </c>
      <c r="G12" s="57">
        <f t="shared" si="0"/>
        <v>12000</v>
      </c>
      <c r="H12" s="79">
        <f t="shared" si="1"/>
        <v>2400</v>
      </c>
      <c r="I12" s="57">
        <f t="shared" si="2"/>
        <v>14400</v>
      </c>
      <c r="J12" s="80">
        <f t="shared" si="3"/>
        <v>7200</v>
      </c>
    </row>
    <row r="13" spans="1:10" ht="16.5" x14ac:dyDescent="0.35">
      <c r="B13" s="47" t="s">
        <v>155</v>
      </c>
      <c r="C13" s="47" t="s">
        <v>156</v>
      </c>
      <c r="D13" s="47" t="s">
        <v>179</v>
      </c>
      <c r="E13" s="47">
        <v>1000</v>
      </c>
      <c r="F13" s="48">
        <v>7</v>
      </c>
      <c r="G13" s="57">
        <f t="shared" si="0"/>
        <v>7000</v>
      </c>
      <c r="H13" s="79">
        <f t="shared" si="1"/>
        <v>700</v>
      </c>
      <c r="I13" s="57">
        <f t="shared" si="2"/>
        <v>7700</v>
      </c>
      <c r="J13" s="80">
        <f t="shared" si="3"/>
        <v>2566.6666666666665</v>
      </c>
    </row>
    <row r="14" spans="1:10" ht="16.5" x14ac:dyDescent="0.35">
      <c r="B14" s="47" t="s">
        <v>148</v>
      </c>
      <c r="C14" s="47" t="s">
        <v>157</v>
      </c>
      <c r="D14" s="47" t="s">
        <v>179</v>
      </c>
      <c r="E14" s="47">
        <v>2900</v>
      </c>
      <c r="F14" s="48">
        <v>7</v>
      </c>
      <c r="G14" s="57">
        <f t="shared" si="0"/>
        <v>20300</v>
      </c>
      <c r="H14" s="79">
        <f t="shared" si="1"/>
        <v>2030</v>
      </c>
      <c r="I14" s="57">
        <f t="shared" si="2"/>
        <v>22330</v>
      </c>
      <c r="J14" s="80">
        <f>IF(D14="America",I14/E$25,I14/H$25)</f>
        <v>7443.333333333333</v>
      </c>
    </row>
    <row r="15" spans="1:10" ht="16.5" x14ac:dyDescent="0.35">
      <c r="B15" s="47" t="s">
        <v>158</v>
      </c>
      <c r="C15" s="47" t="s">
        <v>151</v>
      </c>
      <c r="D15" s="47" t="s">
        <v>152</v>
      </c>
      <c r="E15" s="47">
        <v>3000</v>
      </c>
      <c r="F15" s="48">
        <v>7.5</v>
      </c>
      <c r="G15" s="57">
        <f t="shared" si="0"/>
        <v>22500</v>
      </c>
      <c r="H15" s="79">
        <f t="shared" si="1"/>
        <v>4500</v>
      </c>
      <c r="I15" s="57">
        <f t="shared" si="2"/>
        <v>27000</v>
      </c>
      <c r="J15" s="80">
        <f t="shared" si="3"/>
        <v>13500</v>
      </c>
    </row>
    <row r="16" spans="1:10" ht="16.5" x14ac:dyDescent="0.35">
      <c r="B16" s="47" t="s">
        <v>159</v>
      </c>
      <c r="C16" s="47" t="s">
        <v>149</v>
      </c>
      <c r="D16" s="47" t="s">
        <v>179</v>
      </c>
      <c r="E16" s="47">
        <v>4000</v>
      </c>
      <c r="F16" s="48">
        <v>5</v>
      </c>
      <c r="G16" s="57">
        <f t="shared" si="0"/>
        <v>20000</v>
      </c>
      <c r="H16" s="79">
        <f t="shared" si="1"/>
        <v>2000</v>
      </c>
      <c r="I16" s="57">
        <f t="shared" si="2"/>
        <v>22000</v>
      </c>
      <c r="J16" s="80">
        <f t="shared" si="3"/>
        <v>7333.333333333333</v>
      </c>
    </row>
    <row r="17" spans="2:10" ht="16.5" x14ac:dyDescent="0.35">
      <c r="B17" s="47" t="s">
        <v>150</v>
      </c>
      <c r="C17" s="47" t="s">
        <v>157</v>
      </c>
      <c r="D17" s="47" t="s">
        <v>179</v>
      </c>
      <c r="E17" s="47">
        <v>4000</v>
      </c>
      <c r="F17" s="48">
        <v>6</v>
      </c>
      <c r="G17" s="57">
        <f t="shared" si="0"/>
        <v>24000</v>
      </c>
      <c r="H17" s="79">
        <f t="shared" si="1"/>
        <v>2400</v>
      </c>
      <c r="I17" s="57">
        <f t="shared" si="2"/>
        <v>26400</v>
      </c>
      <c r="J17" s="80">
        <f t="shared" si="3"/>
        <v>8800</v>
      </c>
    </row>
    <row r="18" spans="2:10" ht="16.5" x14ac:dyDescent="0.35">
      <c r="B18" s="47" t="s">
        <v>160</v>
      </c>
      <c r="C18" s="47" t="s">
        <v>154</v>
      </c>
      <c r="D18" s="47" t="s">
        <v>152</v>
      </c>
      <c r="E18" s="47">
        <v>3400</v>
      </c>
      <c r="F18" s="48">
        <v>5.5</v>
      </c>
      <c r="G18" s="57">
        <f t="shared" si="0"/>
        <v>18700</v>
      </c>
      <c r="H18" s="79">
        <f t="shared" si="1"/>
        <v>3740</v>
      </c>
      <c r="I18" s="57">
        <f t="shared" si="2"/>
        <v>22440</v>
      </c>
      <c r="J18" s="80">
        <f>IF(D18="America",I18/E$25,I18/H$25)</f>
        <v>11220</v>
      </c>
    </row>
    <row r="19" spans="2:10" ht="16.5" x14ac:dyDescent="0.35">
      <c r="B19" s="47" t="s">
        <v>161</v>
      </c>
      <c r="C19" s="47" t="s">
        <v>156</v>
      </c>
      <c r="D19" s="47" t="s">
        <v>179</v>
      </c>
      <c r="E19" s="47">
        <v>2000</v>
      </c>
      <c r="F19" s="48">
        <v>7.8</v>
      </c>
      <c r="G19" s="57">
        <f t="shared" si="0"/>
        <v>15600</v>
      </c>
      <c r="H19" s="79">
        <f t="shared" si="1"/>
        <v>1560</v>
      </c>
      <c r="I19" s="57">
        <f t="shared" si="2"/>
        <v>17160</v>
      </c>
      <c r="J19" s="80">
        <f t="shared" si="3"/>
        <v>5720</v>
      </c>
    </row>
    <row r="20" spans="2:10" ht="16.5" x14ac:dyDescent="0.35">
      <c r="B20" s="47" t="s">
        <v>162</v>
      </c>
      <c r="C20" s="47" t="s">
        <v>147</v>
      </c>
      <c r="D20" s="47" t="s">
        <v>179</v>
      </c>
      <c r="E20" s="47">
        <v>2300</v>
      </c>
      <c r="F20" s="48">
        <v>8</v>
      </c>
      <c r="G20" s="57">
        <f t="shared" si="0"/>
        <v>18400</v>
      </c>
      <c r="H20" s="79">
        <f t="shared" si="1"/>
        <v>1840</v>
      </c>
      <c r="I20" s="57">
        <f t="shared" si="2"/>
        <v>20240</v>
      </c>
      <c r="J20" s="80">
        <f t="shared" si="3"/>
        <v>6746.666666666667</v>
      </c>
    </row>
    <row r="21" spans="2:10" ht="16.5" x14ac:dyDescent="0.35">
      <c r="B21" s="47" t="s">
        <v>163</v>
      </c>
      <c r="C21" s="47" t="s">
        <v>154</v>
      </c>
      <c r="D21" s="47" t="s">
        <v>152</v>
      </c>
      <c r="E21" s="47">
        <v>1000</v>
      </c>
      <c r="F21" s="48">
        <v>8.5</v>
      </c>
      <c r="G21" s="57">
        <f t="shared" si="0"/>
        <v>8500</v>
      </c>
      <c r="H21" s="79">
        <f t="shared" si="1"/>
        <v>1700</v>
      </c>
      <c r="I21" s="57">
        <f t="shared" si="2"/>
        <v>10200</v>
      </c>
      <c r="J21" s="80">
        <f t="shared" si="3"/>
        <v>5100</v>
      </c>
    </row>
    <row r="23" spans="2:10" ht="13.5" thickBot="1" x14ac:dyDescent="0.25"/>
    <row r="24" spans="2:10" ht="15.75" thickBot="1" x14ac:dyDescent="0.35">
      <c r="B24" s="112" t="s">
        <v>164</v>
      </c>
      <c r="C24" s="112"/>
      <c r="D24" s="112"/>
      <c r="E24" s="50">
        <v>0.1</v>
      </c>
      <c r="F24" s="112" t="s">
        <v>165</v>
      </c>
      <c r="G24" s="112"/>
      <c r="H24" s="112"/>
      <c r="I24" s="51">
        <v>0.2</v>
      </c>
      <c r="J24" s="49"/>
    </row>
    <row r="25" spans="2:10" ht="15.75" thickBot="1" x14ac:dyDescent="0.35">
      <c r="B25" s="112" t="s">
        <v>166</v>
      </c>
      <c r="C25" s="112"/>
      <c r="D25" s="112"/>
      <c r="E25" s="52">
        <v>3</v>
      </c>
      <c r="F25" s="113" t="s">
        <v>167</v>
      </c>
      <c r="G25" s="113"/>
      <c r="H25" s="52">
        <v>2</v>
      </c>
      <c r="I25" s="49"/>
      <c r="J25" s="49"/>
    </row>
  </sheetData>
  <mergeCells count="5">
    <mergeCell ref="B2:E6"/>
    <mergeCell ref="B24:D24"/>
    <mergeCell ref="F24:H24"/>
    <mergeCell ref="B25:D25"/>
    <mergeCell ref="F25:G2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I31"/>
  <sheetViews>
    <sheetView workbookViewId="0">
      <selection activeCell="F25" sqref="F25"/>
    </sheetView>
  </sheetViews>
  <sheetFormatPr defaultRowHeight="12.75" x14ac:dyDescent="0.2"/>
  <cols>
    <col min="1" max="1" width="23.42578125" bestFit="1" customWidth="1"/>
    <col min="2" max="2" width="10.5703125" customWidth="1"/>
    <col min="3" max="3" width="10.140625" bestFit="1" customWidth="1"/>
    <col min="4" max="4" width="15.5703125" bestFit="1" customWidth="1"/>
    <col min="9" max="9" width="13.28515625" bestFit="1" customWidth="1"/>
  </cols>
  <sheetData>
    <row r="1" spans="1:9" ht="15.75" x14ac:dyDescent="0.25">
      <c r="A1" s="2" t="s">
        <v>175</v>
      </c>
    </row>
    <row r="3" spans="1:9" x14ac:dyDescent="0.2">
      <c r="A3" s="114" t="s">
        <v>20</v>
      </c>
      <c r="B3" s="114"/>
      <c r="C3" s="114"/>
    </row>
    <row r="4" spans="1:9" x14ac:dyDescent="0.2">
      <c r="A4" s="53" t="s">
        <v>0</v>
      </c>
      <c r="B4" s="53" t="s">
        <v>1</v>
      </c>
      <c r="C4" s="53" t="s">
        <v>25</v>
      </c>
      <c r="D4" s="1"/>
      <c r="E4" s="1"/>
      <c r="F4" s="1"/>
    </row>
    <row r="5" spans="1:9" x14ac:dyDescent="0.2">
      <c r="A5" s="54" t="s">
        <v>11</v>
      </c>
      <c r="B5" s="55">
        <v>635.20000000000005</v>
      </c>
      <c r="C5" s="55" t="s">
        <v>26</v>
      </c>
      <c r="D5" s="4"/>
      <c r="E5" s="4"/>
    </row>
    <row r="6" spans="1:9" x14ac:dyDescent="0.2">
      <c r="A6" s="54" t="s">
        <v>12</v>
      </c>
      <c r="B6" s="55">
        <v>2351.23</v>
      </c>
      <c r="C6" s="55" t="s">
        <v>27</v>
      </c>
      <c r="D6" s="4"/>
      <c r="E6" s="4"/>
      <c r="I6" s="7" t="s">
        <v>22</v>
      </c>
    </row>
    <row r="7" spans="1:9" x14ac:dyDescent="0.2">
      <c r="A7" s="54" t="s">
        <v>13</v>
      </c>
      <c r="B7" s="55">
        <v>852.3</v>
      </c>
      <c r="C7" s="55" t="s">
        <v>26</v>
      </c>
      <c r="D7" s="8" t="s">
        <v>22</v>
      </c>
      <c r="E7" s="4"/>
    </row>
    <row r="8" spans="1:9" x14ac:dyDescent="0.2">
      <c r="A8" s="54" t="s">
        <v>14</v>
      </c>
      <c r="B8" s="55">
        <v>685</v>
      </c>
      <c r="C8" s="55" t="s">
        <v>28</v>
      </c>
      <c r="E8" s="4"/>
    </row>
    <row r="9" spans="1:9" x14ac:dyDescent="0.2">
      <c r="A9" s="54" t="s">
        <v>15</v>
      </c>
      <c r="B9" s="55">
        <v>3520.63</v>
      </c>
      <c r="C9" s="55" t="s">
        <v>27</v>
      </c>
      <c r="D9" s="9" t="s">
        <v>22</v>
      </c>
    </row>
    <row r="10" spans="1:9" x14ac:dyDescent="0.2">
      <c r="A10" s="54" t="s">
        <v>16</v>
      </c>
      <c r="B10" s="55">
        <v>635.20000000000005</v>
      </c>
      <c r="C10" s="55" t="s">
        <v>26</v>
      </c>
      <c r="D10" s="9" t="s">
        <v>22</v>
      </c>
    </row>
    <row r="11" spans="1:9" x14ac:dyDescent="0.2">
      <c r="A11" s="54" t="s">
        <v>31</v>
      </c>
      <c r="B11" s="55">
        <v>485</v>
      </c>
      <c r="C11" s="55" t="s">
        <v>28</v>
      </c>
      <c r="D11" s="9" t="s">
        <v>22</v>
      </c>
      <c r="E11" s="4"/>
    </row>
    <row r="12" spans="1:9" x14ac:dyDescent="0.2">
      <c r="A12" s="54" t="s">
        <v>32</v>
      </c>
      <c r="B12" s="55">
        <v>1325.2</v>
      </c>
      <c r="C12" s="55" t="s">
        <v>26</v>
      </c>
      <c r="D12" s="4"/>
      <c r="E12" s="4"/>
    </row>
    <row r="13" spans="1:9" x14ac:dyDescent="0.2">
      <c r="A13" s="54" t="s">
        <v>33</v>
      </c>
      <c r="B13" s="55">
        <v>2350.2199999999998</v>
      </c>
      <c r="C13" s="55" t="s">
        <v>27</v>
      </c>
      <c r="D13" s="4"/>
      <c r="E13" s="8" t="s">
        <v>22</v>
      </c>
      <c r="I13" s="7" t="s">
        <v>22</v>
      </c>
    </row>
    <row r="14" spans="1:9" x14ac:dyDescent="0.2">
      <c r="A14" s="54" t="s">
        <v>37</v>
      </c>
      <c r="B14" s="55">
        <v>2500</v>
      </c>
      <c r="C14" s="55" t="s">
        <v>27</v>
      </c>
      <c r="D14" s="4"/>
      <c r="E14" s="4"/>
    </row>
    <row r="15" spans="1:9" x14ac:dyDescent="0.2">
      <c r="A15" s="54" t="s">
        <v>34</v>
      </c>
      <c r="B15" s="55">
        <v>850</v>
      </c>
      <c r="C15" s="55" t="s">
        <v>26</v>
      </c>
      <c r="D15" s="4"/>
      <c r="E15" s="4"/>
    </row>
    <row r="16" spans="1:9" x14ac:dyDescent="0.2">
      <c r="A16" s="54" t="s">
        <v>35</v>
      </c>
      <c r="B16" s="55">
        <v>753</v>
      </c>
      <c r="C16" s="55" t="s">
        <v>28</v>
      </c>
      <c r="D16" s="4"/>
      <c r="E16" s="4"/>
    </row>
    <row r="17" spans="1:9" x14ac:dyDescent="0.2">
      <c r="A17" s="54" t="s">
        <v>36</v>
      </c>
      <c r="B17" s="56">
        <v>650</v>
      </c>
      <c r="C17" s="55" t="s">
        <v>26</v>
      </c>
      <c r="D17" s="4"/>
      <c r="E17" s="4"/>
    </row>
    <row r="18" spans="1:9" x14ac:dyDescent="0.2">
      <c r="B18" s="3"/>
      <c r="C18" s="3"/>
      <c r="D18" s="4"/>
    </row>
    <row r="19" spans="1:9" x14ac:dyDescent="0.2">
      <c r="A19" s="1" t="s">
        <v>66</v>
      </c>
      <c r="B19" s="17">
        <f>LARGE(B5:B17,1)</f>
        <v>3520.63</v>
      </c>
      <c r="C19" s="3"/>
      <c r="D19" s="4"/>
      <c r="G19" s="12" t="s">
        <v>176</v>
      </c>
    </row>
    <row r="20" spans="1:9" x14ac:dyDescent="0.2">
      <c r="A20" s="1" t="s">
        <v>67</v>
      </c>
      <c r="B20" s="17">
        <f>SMALL(B5:B17,1)</f>
        <v>485</v>
      </c>
    </row>
    <row r="21" spans="1:9" x14ac:dyDescent="0.2">
      <c r="A21" s="1" t="s">
        <v>68</v>
      </c>
      <c r="B21" s="17">
        <f>SUM(B5:B17)</f>
        <v>17592.980000000003</v>
      </c>
    </row>
    <row r="22" spans="1:9" x14ac:dyDescent="0.2">
      <c r="A22" s="1" t="s">
        <v>69</v>
      </c>
      <c r="B22" s="17">
        <f>AVERAGE(B5:B17)</f>
        <v>1353.3061538461541</v>
      </c>
    </row>
    <row r="23" spans="1:9" x14ac:dyDescent="0.2">
      <c r="B23" s="77"/>
    </row>
    <row r="24" spans="1:9" x14ac:dyDescent="0.2">
      <c r="A24" s="1" t="s">
        <v>29</v>
      </c>
      <c r="C24" t="s">
        <v>27</v>
      </c>
      <c r="D24" t="s">
        <v>26</v>
      </c>
      <c r="E24" t="s">
        <v>28</v>
      </c>
    </row>
    <row r="25" spans="1:9" x14ac:dyDescent="0.2">
      <c r="A25" s="1"/>
    </row>
    <row r="26" spans="1:9" x14ac:dyDescent="0.2">
      <c r="A26" s="1" t="s">
        <v>30</v>
      </c>
      <c r="B26" t="s">
        <v>22</v>
      </c>
      <c r="C26" s="10">
        <f>COUNTIF(C5:C17,C24)</f>
        <v>4</v>
      </c>
      <c r="D26" s="10">
        <f>COUNTIF(C5:C17,D24)</f>
        <v>6</v>
      </c>
      <c r="E26" s="10">
        <f>COUNTIF(C5:C17,E24)</f>
        <v>3</v>
      </c>
      <c r="G26" s="12" t="s">
        <v>177</v>
      </c>
      <c r="H26" s="11"/>
      <c r="I26" s="11" t="s">
        <v>24</v>
      </c>
    </row>
    <row r="27" spans="1:9" x14ac:dyDescent="0.2">
      <c r="A27" s="1" t="s">
        <v>7</v>
      </c>
      <c r="B27" t="s">
        <v>22</v>
      </c>
      <c r="C27" s="10">
        <f>SUMIF(C5:C17,"adm",B5:B17)</f>
        <v>10722.08</v>
      </c>
      <c r="D27" s="10">
        <f>SUMIF(C5:C17,"contab",B5:B17)</f>
        <v>4947.8999999999996</v>
      </c>
      <c r="E27" s="10">
        <f>SUMIF(C5:C17,"finan",B5:B17)</f>
        <v>1923</v>
      </c>
      <c r="G27" s="12"/>
      <c r="H27" s="11"/>
      <c r="I27" s="11" t="s">
        <v>70</v>
      </c>
    </row>
    <row r="29" spans="1:9" x14ac:dyDescent="0.2">
      <c r="A29" s="1"/>
      <c r="B29" s="10"/>
      <c r="C29" s="7" t="s">
        <v>22</v>
      </c>
      <c r="G29" s="11" t="s">
        <v>22</v>
      </c>
    </row>
    <row r="30" spans="1:9" x14ac:dyDescent="0.2">
      <c r="C30" s="7" t="s">
        <v>22</v>
      </c>
      <c r="I30" s="7" t="s">
        <v>22</v>
      </c>
    </row>
    <row r="31" spans="1:9" x14ac:dyDescent="0.2">
      <c r="C31" s="7" t="s">
        <v>22</v>
      </c>
      <c r="G31" s="11"/>
    </row>
  </sheetData>
  <mergeCells count="1">
    <mergeCell ref="A3:C3"/>
  </mergeCells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O27"/>
  <sheetViews>
    <sheetView workbookViewId="0">
      <selection activeCell="C2" sqref="C2"/>
    </sheetView>
  </sheetViews>
  <sheetFormatPr defaultRowHeight="12.75" x14ac:dyDescent="0.2"/>
  <cols>
    <col min="1" max="1" width="23" bestFit="1" customWidth="1"/>
    <col min="2" max="2" width="10.140625" customWidth="1"/>
    <col min="3" max="3" width="9.5703125" customWidth="1"/>
    <col min="8" max="8" width="13.28515625" bestFit="1" customWidth="1"/>
  </cols>
  <sheetData>
    <row r="1" spans="1:15" ht="15" x14ac:dyDescent="0.2">
      <c r="A1" s="15" t="s">
        <v>178</v>
      </c>
    </row>
    <row r="2" spans="1:15" x14ac:dyDescent="0.2">
      <c r="C2" t="s">
        <v>53</v>
      </c>
      <c r="D2" t="s">
        <v>54</v>
      </c>
      <c r="E2" s="11" t="s">
        <v>22</v>
      </c>
    </row>
    <row r="3" spans="1:15" x14ac:dyDescent="0.2">
      <c r="A3" s="13" t="s">
        <v>38</v>
      </c>
      <c r="B3" s="13" t="s">
        <v>1</v>
      </c>
      <c r="C3" s="13" t="s">
        <v>39</v>
      </c>
      <c r="D3" s="13" t="s">
        <v>2</v>
      </c>
      <c r="E3" s="16" t="s">
        <v>50</v>
      </c>
      <c r="F3" s="13" t="s">
        <v>4</v>
      </c>
    </row>
    <row r="4" spans="1:15" x14ac:dyDescent="0.2">
      <c r="A4" s="7" t="s">
        <v>11</v>
      </c>
      <c r="B4" s="4">
        <v>350</v>
      </c>
      <c r="C4" s="78">
        <f>IF(AND(B4&gt;=500,B4&lt;1000),75,IF(B4&lt;500,50,IF(B4&gt;=1000,100)))</f>
        <v>50</v>
      </c>
      <c r="D4" s="78">
        <f>IF(AND(B4&gt;=500,B4&lt;1000),90,IF(B4&lt;500,35,IF(B4&gt;=1000,65)))</f>
        <v>35</v>
      </c>
      <c r="E4" s="17">
        <f>IF(AND(B4&gt;=500,B4&lt;1000),25,IF(B4&lt;500,10,IF(B4&gt;=1000,15)))</f>
        <v>10</v>
      </c>
      <c r="F4" s="17">
        <f>B4-C4-D4-E4</f>
        <v>255</v>
      </c>
      <c r="G4" s="7"/>
      <c r="H4" s="14" t="s">
        <v>71</v>
      </c>
      <c r="O4" t="b">
        <f>AND(B4&gt;=500,B4&lt;1000)</f>
        <v>0</v>
      </c>
    </row>
    <row r="5" spans="1:15" x14ac:dyDescent="0.2">
      <c r="A5" s="7" t="s">
        <v>12</v>
      </c>
      <c r="B5" s="4">
        <v>1250.3</v>
      </c>
      <c r="C5" s="78">
        <f t="shared" ref="C5:C15" si="0">IF(AND(B5&gt;=500,B5&lt;1000),75,IF(B5&lt;500,50,IF(B5&gt;=1000,100)))</f>
        <v>100</v>
      </c>
      <c r="D5" s="78">
        <f t="shared" ref="D5:D15" si="1">IF(AND(B5&gt;=500,B5&lt;1000),90,IF(B5&lt;500,35,IF(B5&gt;=1000,65)))</f>
        <v>65</v>
      </c>
      <c r="E5" s="17">
        <f t="shared" ref="E5:E15" si="2">IF(AND(B5&gt;=500,B5&lt;1000),25,IF(B5&lt;500,10,IF(B5&gt;=1000,15)))</f>
        <v>15</v>
      </c>
      <c r="F5" s="17">
        <f t="shared" ref="F5:F15" si="3">B5-C5-D5-E5</f>
        <v>1070.3</v>
      </c>
      <c r="G5" s="7"/>
      <c r="I5" s="11" t="s">
        <v>48</v>
      </c>
      <c r="O5" t="b">
        <f>AND(B5&gt;=500,B5&lt;1000)</f>
        <v>0</v>
      </c>
    </row>
    <row r="6" spans="1:15" x14ac:dyDescent="0.2">
      <c r="A6" s="7" t="s">
        <v>46</v>
      </c>
      <c r="B6" s="4">
        <v>1023</v>
      </c>
      <c r="C6" s="78">
        <f t="shared" si="0"/>
        <v>100</v>
      </c>
      <c r="D6" s="78">
        <f t="shared" si="1"/>
        <v>65</v>
      </c>
      <c r="E6" s="17">
        <f t="shared" si="2"/>
        <v>15</v>
      </c>
      <c r="F6" s="17">
        <f t="shared" si="3"/>
        <v>843</v>
      </c>
      <c r="G6" s="7"/>
      <c r="I6" s="11" t="s">
        <v>49</v>
      </c>
      <c r="O6" t="b">
        <f t="shared" ref="O6:O15" si="4">AND(B6&gt;=500,B6&lt;1000)</f>
        <v>0</v>
      </c>
    </row>
    <row r="7" spans="1:15" x14ac:dyDescent="0.2">
      <c r="A7" s="7" t="s">
        <v>14</v>
      </c>
      <c r="B7" s="4">
        <v>620</v>
      </c>
      <c r="C7" s="78">
        <f t="shared" si="0"/>
        <v>75</v>
      </c>
      <c r="D7" s="78">
        <f t="shared" si="1"/>
        <v>90</v>
      </c>
      <c r="E7" s="17">
        <f t="shared" si="2"/>
        <v>25</v>
      </c>
      <c r="F7" s="17">
        <f t="shared" si="3"/>
        <v>430</v>
      </c>
      <c r="G7" s="7"/>
      <c r="I7" s="11" t="s">
        <v>55</v>
      </c>
      <c r="O7" t="b">
        <f t="shared" si="4"/>
        <v>1</v>
      </c>
    </row>
    <row r="8" spans="1:15" x14ac:dyDescent="0.2">
      <c r="A8" s="7" t="s">
        <v>47</v>
      </c>
      <c r="B8" s="4">
        <v>750</v>
      </c>
      <c r="C8" s="78">
        <f t="shared" si="0"/>
        <v>75</v>
      </c>
      <c r="D8" s="78">
        <f t="shared" si="1"/>
        <v>90</v>
      </c>
      <c r="E8" s="17">
        <f t="shared" si="2"/>
        <v>25</v>
      </c>
      <c r="F8" s="17">
        <f t="shared" si="3"/>
        <v>560</v>
      </c>
      <c r="G8" s="7"/>
      <c r="O8" t="b">
        <f t="shared" si="4"/>
        <v>1</v>
      </c>
    </row>
    <row r="9" spans="1:15" x14ac:dyDescent="0.2">
      <c r="A9" s="7" t="s">
        <v>16</v>
      </c>
      <c r="B9" s="4">
        <v>500</v>
      </c>
      <c r="C9" s="78">
        <f t="shared" si="0"/>
        <v>75</v>
      </c>
      <c r="D9" s="78">
        <f t="shared" si="1"/>
        <v>90</v>
      </c>
      <c r="E9" s="17">
        <f t="shared" si="2"/>
        <v>25</v>
      </c>
      <c r="F9" s="17">
        <f t="shared" si="3"/>
        <v>310</v>
      </c>
      <c r="G9" s="7"/>
      <c r="H9" s="14" t="s">
        <v>72</v>
      </c>
      <c r="O9" t="b">
        <f t="shared" si="4"/>
        <v>1</v>
      </c>
    </row>
    <row r="10" spans="1:15" x14ac:dyDescent="0.2">
      <c r="A10" s="7" t="s">
        <v>31</v>
      </c>
      <c r="B10" s="4">
        <v>499</v>
      </c>
      <c r="C10" s="78">
        <f t="shared" si="0"/>
        <v>50</v>
      </c>
      <c r="D10" s="78">
        <f t="shared" si="1"/>
        <v>35</v>
      </c>
      <c r="E10" s="17">
        <f t="shared" si="2"/>
        <v>10</v>
      </c>
      <c r="F10" s="17">
        <f t="shared" si="3"/>
        <v>404</v>
      </c>
      <c r="G10" s="7"/>
      <c r="I10" s="11" t="s">
        <v>73</v>
      </c>
      <c r="O10" t="b">
        <f t="shared" si="4"/>
        <v>0</v>
      </c>
    </row>
    <row r="11" spans="1:15" x14ac:dyDescent="0.2">
      <c r="A11" s="7" t="s">
        <v>32</v>
      </c>
      <c r="B11" s="4">
        <v>1320</v>
      </c>
      <c r="C11" s="78">
        <f t="shared" si="0"/>
        <v>100</v>
      </c>
      <c r="D11" s="78">
        <f t="shared" si="1"/>
        <v>65</v>
      </c>
      <c r="E11" s="17">
        <f t="shared" si="2"/>
        <v>15</v>
      </c>
      <c r="F11" s="17">
        <f t="shared" si="3"/>
        <v>1140</v>
      </c>
      <c r="G11" s="7"/>
      <c r="I11" s="11" t="s">
        <v>74</v>
      </c>
      <c r="O11" t="b">
        <f t="shared" si="4"/>
        <v>0</v>
      </c>
    </row>
    <row r="12" spans="1:15" x14ac:dyDescent="0.2">
      <c r="A12" s="7" t="s">
        <v>33</v>
      </c>
      <c r="B12" s="4">
        <v>620</v>
      </c>
      <c r="C12" s="78">
        <f t="shared" si="0"/>
        <v>75</v>
      </c>
      <c r="D12" s="78">
        <f t="shared" si="1"/>
        <v>90</v>
      </c>
      <c r="E12" s="17">
        <f t="shared" si="2"/>
        <v>25</v>
      </c>
      <c r="F12" s="17">
        <f t="shared" si="3"/>
        <v>430</v>
      </c>
      <c r="G12" s="7"/>
      <c r="I12" s="11" t="s">
        <v>75</v>
      </c>
      <c r="O12" t="b">
        <f t="shared" si="4"/>
        <v>1</v>
      </c>
    </row>
    <row r="13" spans="1:15" x14ac:dyDescent="0.2">
      <c r="A13" s="7" t="s">
        <v>41</v>
      </c>
      <c r="B13" s="4">
        <v>280</v>
      </c>
      <c r="C13" s="78">
        <f t="shared" si="0"/>
        <v>50</v>
      </c>
      <c r="D13" s="78">
        <f t="shared" si="1"/>
        <v>35</v>
      </c>
      <c r="E13" s="17">
        <f t="shared" si="2"/>
        <v>10</v>
      </c>
      <c r="F13" s="17">
        <f t="shared" si="3"/>
        <v>185</v>
      </c>
      <c r="G13" s="7"/>
      <c r="O13" t="b">
        <f t="shared" si="4"/>
        <v>0</v>
      </c>
    </row>
    <row r="14" spans="1:15" x14ac:dyDescent="0.2">
      <c r="A14" s="7" t="s">
        <v>34</v>
      </c>
      <c r="B14" s="4">
        <v>330</v>
      </c>
      <c r="C14" s="78">
        <f t="shared" si="0"/>
        <v>50</v>
      </c>
      <c r="D14" s="78">
        <f t="shared" si="1"/>
        <v>35</v>
      </c>
      <c r="E14" s="17">
        <f t="shared" si="2"/>
        <v>10</v>
      </c>
      <c r="F14" s="17">
        <f t="shared" si="3"/>
        <v>235</v>
      </c>
      <c r="G14" s="7"/>
      <c r="H14" s="6" t="s">
        <v>76</v>
      </c>
      <c r="O14" t="b">
        <f t="shared" si="4"/>
        <v>0</v>
      </c>
    </row>
    <row r="15" spans="1:15" x14ac:dyDescent="0.2">
      <c r="A15" s="7" t="s">
        <v>35</v>
      </c>
      <c r="B15" s="4">
        <v>1000</v>
      </c>
      <c r="C15" s="78">
        <f t="shared" si="0"/>
        <v>100</v>
      </c>
      <c r="D15" s="78">
        <f t="shared" si="1"/>
        <v>65</v>
      </c>
      <c r="E15" s="17">
        <f t="shared" si="2"/>
        <v>15</v>
      </c>
      <c r="F15" s="17">
        <f t="shared" si="3"/>
        <v>820</v>
      </c>
      <c r="G15" s="7"/>
      <c r="I15" s="11" t="s">
        <v>51</v>
      </c>
      <c r="O15" t="b">
        <f t="shared" si="4"/>
        <v>0</v>
      </c>
    </row>
    <row r="16" spans="1:15" x14ac:dyDescent="0.2">
      <c r="B16" s="4"/>
      <c r="F16" s="4" t="s">
        <v>22</v>
      </c>
      <c r="I16" s="11" t="s">
        <v>52</v>
      </c>
      <c r="O16" t="s">
        <v>22</v>
      </c>
    </row>
    <row r="17" spans="1:15" x14ac:dyDescent="0.2">
      <c r="I17" s="11" t="s">
        <v>56</v>
      </c>
      <c r="O17" t="s">
        <v>22</v>
      </c>
    </row>
    <row r="18" spans="1:15" x14ac:dyDescent="0.2">
      <c r="B18" s="1" t="s">
        <v>40</v>
      </c>
      <c r="C18" s="1" t="s">
        <v>86</v>
      </c>
    </row>
    <row r="19" spans="1:15" x14ac:dyDescent="0.2">
      <c r="A19" s="7" t="s">
        <v>81</v>
      </c>
      <c r="B19" s="81">
        <f>COUNTIF(B4:B15,"&lt;500")</f>
        <v>4</v>
      </c>
      <c r="C19" s="17" t="s">
        <v>22</v>
      </c>
      <c r="D19" s="119" t="s">
        <v>60</v>
      </c>
      <c r="E19" s="115" t="s">
        <v>77</v>
      </c>
      <c r="F19" s="116"/>
      <c r="G19" s="116"/>
      <c r="H19" s="116"/>
      <c r="I19" s="116"/>
      <c r="J19" s="116"/>
      <c r="K19" s="117"/>
    </row>
    <row r="20" spans="1:15" x14ac:dyDescent="0.2">
      <c r="A20" s="7" t="s">
        <v>82</v>
      </c>
      <c r="B20" s="81">
        <f>COUNTIFS(B4:B15,"&gt;=500",B4:B15,"&lt;1000")</f>
        <v>4</v>
      </c>
      <c r="C20" s="17" t="s">
        <v>22</v>
      </c>
      <c r="D20" s="119"/>
      <c r="E20" s="118"/>
      <c r="F20" s="119"/>
      <c r="G20" s="119"/>
      <c r="H20" s="119"/>
      <c r="I20" s="119"/>
      <c r="J20" s="119"/>
      <c r="K20" s="120"/>
    </row>
    <row r="21" spans="1:15" x14ac:dyDescent="0.2">
      <c r="A21" s="7" t="s">
        <v>83</v>
      </c>
      <c r="B21" s="81">
        <f>COUNTIF(B6:B17,"&gt;=1000")</f>
        <v>3</v>
      </c>
      <c r="C21" s="17" t="s">
        <v>22</v>
      </c>
      <c r="D21" s="119"/>
      <c r="E21" s="121"/>
      <c r="F21" s="122"/>
      <c r="G21" s="122"/>
      <c r="H21" s="122"/>
      <c r="I21" s="122"/>
      <c r="J21" s="122"/>
      <c r="K21" s="123"/>
    </row>
    <row r="23" spans="1:15" x14ac:dyDescent="0.2">
      <c r="B23" s="8" t="s">
        <v>22</v>
      </c>
    </row>
    <row r="24" spans="1:15" x14ac:dyDescent="0.2">
      <c r="A24" s="11" t="s">
        <v>84</v>
      </c>
      <c r="B24" s="11" t="s">
        <v>42</v>
      </c>
      <c r="D24" s="11" t="s">
        <v>85</v>
      </c>
      <c r="E24" s="11" t="s">
        <v>78</v>
      </c>
      <c r="F24" s="11"/>
      <c r="G24" s="11"/>
      <c r="H24" s="11"/>
      <c r="I24" s="11"/>
      <c r="J24" s="11"/>
      <c r="K24" s="11"/>
      <c r="L24" s="11"/>
      <c r="M24" s="11"/>
    </row>
    <row r="25" spans="1:15" x14ac:dyDescent="0.2">
      <c r="A25" s="11"/>
      <c r="B25" s="11" t="s">
        <v>43</v>
      </c>
      <c r="D25" s="11"/>
      <c r="E25" s="11" t="s">
        <v>79</v>
      </c>
      <c r="F25" s="11"/>
      <c r="G25" s="11"/>
      <c r="H25" s="11"/>
      <c r="I25" s="11"/>
      <c r="J25" s="11"/>
      <c r="K25" s="11"/>
      <c r="L25" s="11"/>
      <c r="M25" s="11"/>
    </row>
    <row r="26" spans="1:15" x14ac:dyDescent="0.2">
      <c r="A26" s="11"/>
      <c r="B26" s="11" t="s">
        <v>44</v>
      </c>
      <c r="D26" s="11"/>
      <c r="E26" s="11" t="s">
        <v>80</v>
      </c>
      <c r="F26" s="11"/>
      <c r="G26" s="11"/>
      <c r="H26" s="11"/>
      <c r="I26" s="11"/>
      <c r="J26" s="11"/>
      <c r="K26" s="11"/>
      <c r="L26" s="11"/>
      <c r="M26" s="11"/>
    </row>
    <row r="27" spans="1:15" x14ac:dyDescent="0.2">
      <c r="A27" s="11"/>
      <c r="B27" s="11" t="s">
        <v>45</v>
      </c>
    </row>
  </sheetData>
  <mergeCells count="2">
    <mergeCell ref="E19:K21"/>
    <mergeCell ref="D19:D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E7"/>
  <sheetViews>
    <sheetView workbookViewId="0">
      <selection activeCell="E2" sqref="E2"/>
    </sheetView>
  </sheetViews>
  <sheetFormatPr defaultRowHeight="12.75" x14ac:dyDescent="0.2"/>
  <cols>
    <col min="1" max="1" width="12.28515625" customWidth="1"/>
    <col min="2" max="2" width="14.5703125" customWidth="1"/>
    <col min="3" max="3" width="5.85546875" customWidth="1"/>
    <col min="4" max="4" width="19.7109375" customWidth="1"/>
    <col min="5" max="5" width="20" customWidth="1"/>
  </cols>
  <sheetData>
    <row r="1" spans="1:5" x14ac:dyDescent="0.2">
      <c r="A1" t="s">
        <v>182</v>
      </c>
      <c r="B1" t="s">
        <v>183</v>
      </c>
      <c r="C1" t="s">
        <v>184</v>
      </c>
      <c r="D1" t="s">
        <v>185</v>
      </c>
      <c r="E1" t="s">
        <v>186</v>
      </c>
    </row>
    <row r="2" spans="1:5" x14ac:dyDescent="0.2">
      <c r="A2" s="82">
        <v>28145</v>
      </c>
      <c r="B2" t="s">
        <v>187</v>
      </c>
      <c r="C2" s="83">
        <v>2</v>
      </c>
      <c r="D2" s="84">
        <f>CalcD(A2,C2)</f>
        <v>14072.5</v>
      </c>
      <c r="E2" s="84">
        <f>A2/C2</f>
        <v>14072.5</v>
      </c>
    </row>
    <row r="3" spans="1:5" x14ac:dyDescent="0.2">
      <c r="A3" s="82">
        <v>33135</v>
      </c>
      <c r="B3" t="s">
        <v>188</v>
      </c>
      <c r="C3" s="83">
        <v>2</v>
      </c>
      <c r="D3" s="84">
        <f t="shared" ref="D3:D7" si="0">CalcD(A3,C3)</f>
        <v>16567.5</v>
      </c>
      <c r="E3" s="84">
        <f t="shared" ref="E3:E7" si="1">A3/C3</f>
        <v>16567.5</v>
      </c>
    </row>
    <row r="4" spans="1:5" x14ac:dyDescent="0.2">
      <c r="A4" s="82">
        <v>13584</v>
      </c>
      <c r="B4" t="s">
        <v>189</v>
      </c>
      <c r="C4" s="83">
        <v>2.1</v>
      </c>
      <c r="D4" s="84">
        <f t="shared" si="0"/>
        <v>6468.5713999999998</v>
      </c>
      <c r="E4" s="84">
        <f t="shared" si="1"/>
        <v>6468.5714285714284</v>
      </c>
    </row>
    <row r="5" spans="1:5" x14ac:dyDescent="0.2">
      <c r="A5" s="82">
        <v>23625</v>
      </c>
      <c r="B5" t="s">
        <v>190</v>
      </c>
      <c r="C5" s="83">
        <v>2.5</v>
      </c>
      <c r="D5" s="84">
        <f t="shared" si="0"/>
        <v>9450</v>
      </c>
      <c r="E5" s="124">
        <f t="shared" si="1"/>
        <v>9450</v>
      </c>
    </row>
    <row r="6" spans="1:5" x14ac:dyDescent="0.2">
      <c r="A6" s="85">
        <v>9227</v>
      </c>
      <c r="B6" t="s">
        <v>191</v>
      </c>
      <c r="C6" s="83">
        <v>2.6</v>
      </c>
      <c r="D6" s="84">
        <f t="shared" si="0"/>
        <v>3548.8462</v>
      </c>
      <c r="E6" s="84">
        <f t="shared" si="1"/>
        <v>3548.8461538461538</v>
      </c>
    </row>
    <row r="7" spans="1:5" x14ac:dyDescent="0.2">
      <c r="A7" s="82">
        <v>19908</v>
      </c>
      <c r="B7" t="s">
        <v>192</v>
      </c>
      <c r="C7" s="83">
        <v>2</v>
      </c>
      <c r="D7" s="84">
        <f t="shared" si="0"/>
        <v>9954</v>
      </c>
      <c r="E7" s="84">
        <f t="shared" si="1"/>
        <v>9954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C11"/>
  <sheetViews>
    <sheetView tabSelected="1" workbookViewId="0">
      <selection activeCell="C11" sqref="C11"/>
    </sheetView>
  </sheetViews>
  <sheetFormatPr defaultRowHeight="12.75" x14ac:dyDescent="0.2"/>
  <sheetData>
    <row r="1" spans="1:3" x14ac:dyDescent="0.2">
      <c r="A1" t="s">
        <v>193</v>
      </c>
      <c r="B1" t="s">
        <v>194</v>
      </c>
    </row>
    <row r="2" spans="1:3" x14ac:dyDescent="0.2">
      <c r="A2" t="s">
        <v>195</v>
      </c>
      <c r="B2" t="s">
        <v>196</v>
      </c>
    </row>
    <row r="11" spans="1:3" x14ac:dyDescent="0.2">
      <c r="C11" s="7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Gráficos</vt:lpstr>
      </vt:variant>
      <vt:variant>
        <vt:i4>1</vt:i4>
      </vt:variant>
    </vt:vector>
  </HeadingPairs>
  <TitlesOfParts>
    <vt:vector size="9" baseType="lpstr">
      <vt:lpstr>Func 01</vt:lpstr>
      <vt:lpstr>Func 02</vt:lpstr>
      <vt:lpstr>Func 03</vt:lpstr>
      <vt:lpstr>Func 04</vt:lpstr>
      <vt:lpstr>Func 05</vt:lpstr>
      <vt:lpstr>Func 06</vt:lpstr>
      <vt:lpstr>27-08 Ex-01</vt:lpstr>
      <vt:lpstr>27-08 Ex 02</vt:lpstr>
      <vt:lpstr>Gráf1</vt:lpstr>
    </vt:vector>
  </TitlesOfParts>
  <Company>RECEITA FEDERAL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SRRF 10ª RF</dc:creator>
  <cp:lastModifiedBy>Simone</cp:lastModifiedBy>
  <dcterms:created xsi:type="dcterms:W3CDTF">2001-06-12T16:36:13Z</dcterms:created>
  <dcterms:modified xsi:type="dcterms:W3CDTF">2018-08-28T01:15:54Z</dcterms:modified>
</cp:coreProperties>
</file>